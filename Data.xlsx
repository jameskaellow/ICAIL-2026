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low/Library/Mobile Documents/com~apple~CloudDocs/Personal/Publications/SG Economic Treaties/"/>
    </mc:Choice>
  </mc:AlternateContent>
  <xr:revisionPtr revIDLastSave="0" documentId="13_ncr:1_{5FC8B5A6-5C1E-5F4D-9E85-327695F76B00}" xr6:coauthVersionLast="47" xr6:coauthVersionMax="47" xr10:uidLastSave="{00000000-0000-0000-0000-000000000000}"/>
  <bookViews>
    <workbookView xWindow="440" yWindow="660" windowWidth="28040" windowHeight="16720" xr2:uid="{ECA5771D-5ADA-1D4C-AB10-9EF80A628936}"/>
  </bookViews>
  <sheets>
    <sheet name="Overall" sheetId="1" r:id="rId1"/>
    <sheet name="Internal (python)" sheetId="4" r:id="rId2"/>
    <sheet name="Internal (Wcopyfind)" sheetId="2" r:id="rId3"/>
    <sheet name="ASEAN (python)" sheetId="5" r:id="rId4"/>
    <sheet name="ASEAN (Wcopyfind)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" l="1"/>
  <c r="H14" i="1"/>
  <c r="J14" i="1"/>
  <c r="K14" i="1"/>
  <c r="I14" i="1"/>
  <c r="R1" i="3"/>
  <c r="K12" i="1" s="1"/>
  <c r="J12" i="1"/>
  <c r="J10" i="1"/>
  <c r="J9" i="1"/>
  <c r="J8" i="1"/>
  <c r="J6" i="1"/>
  <c r="J5" i="1"/>
  <c r="J4" i="1"/>
  <c r="J2" i="1"/>
  <c r="H12" i="1"/>
  <c r="H10" i="1"/>
  <c r="H9" i="1"/>
  <c r="H8" i="1"/>
  <c r="H6" i="1"/>
  <c r="H4" i="1"/>
  <c r="H3" i="1"/>
  <c r="R1" i="5"/>
  <c r="P1" i="5"/>
  <c r="N1" i="5"/>
  <c r="L1" i="5"/>
  <c r="J1" i="5"/>
  <c r="H1" i="5"/>
  <c r="F1" i="5"/>
  <c r="D1" i="5"/>
  <c r="J3" i="1" s="1"/>
  <c r="B1" i="5"/>
  <c r="B1" i="4"/>
  <c r="F1" i="4"/>
  <c r="D1" i="4"/>
  <c r="N1" i="4"/>
  <c r="L1" i="4"/>
  <c r="J1" i="4"/>
  <c r="H1" i="4"/>
  <c r="P1" i="3"/>
  <c r="K10" i="1" s="1"/>
  <c r="N1" i="3"/>
  <c r="K9" i="1" s="1"/>
  <c r="J1" i="3"/>
  <c r="K6" i="1" s="1"/>
  <c r="F1" i="3"/>
  <c r="K4" i="1" s="1"/>
  <c r="I12" i="1"/>
  <c r="I10" i="1"/>
  <c r="I9" i="1"/>
  <c r="I8" i="1"/>
  <c r="I6" i="1"/>
  <c r="I4" i="1"/>
  <c r="I3" i="1"/>
  <c r="N1" i="2"/>
  <c r="L1" i="2"/>
  <c r="J1" i="2"/>
  <c r="F1" i="2"/>
  <c r="D1" i="2"/>
  <c r="B1" i="2"/>
  <c r="D12" i="1"/>
  <c r="D11" i="1"/>
  <c r="D10" i="1"/>
  <c r="D9" i="1"/>
  <c r="D8" i="1"/>
  <c r="D7" i="1"/>
  <c r="D6" i="1"/>
  <c r="D5" i="1"/>
  <c r="D4" i="1"/>
  <c r="D3" i="1"/>
  <c r="D2" i="1"/>
  <c r="L1" i="3"/>
  <c r="K8" i="1" s="1"/>
  <c r="H1" i="3"/>
  <c r="K5" i="1" s="1"/>
  <c r="B1" i="3"/>
  <c r="K2" i="1" s="1"/>
  <c r="D1" i="3"/>
  <c r="K3" i="1" s="1"/>
  <c r="H1" i="2"/>
  <c r="L4" i="1" l="1"/>
  <c r="L8" i="1"/>
  <c r="L3" i="1"/>
  <c r="L6" i="1"/>
  <c r="L9" i="1"/>
  <c r="L10" i="1"/>
  <c r="L12" i="1"/>
</calcChain>
</file>

<file path=xl/sharedStrings.xml><?xml version="1.0" encoding="utf-8"?>
<sst xmlns="http://schemas.openxmlformats.org/spreadsheetml/2006/main" count="176" uniqueCount="84">
  <si>
    <t>Singapore</t>
  </si>
  <si>
    <t>Malaysia</t>
  </si>
  <si>
    <t>Philippines</t>
  </si>
  <si>
    <t>Brunei</t>
  </si>
  <si>
    <t>Indonesia</t>
  </si>
  <si>
    <t>Laos</t>
  </si>
  <si>
    <t>Myanmar</t>
  </si>
  <si>
    <t>Thailand</t>
  </si>
  <si>
    <t>Vietnam</t>
  </si>
  <si>
    <t>Cambodia</t>
  </si>
  <si>
    <t xml:space="preserve"> </t>
  </si>
  <si>
    <t>Timor-Leste</t>
  </si>
  <si>
    <t>CA-US (2025).txt</t>
  </si>
  <si>
    <t>396_EFTA Singapore_2002Cut.txt</t>
  </si>
  <si>
    <t>475_Gulf Cooperation Council (GCC) Singapore_2008Cut.txt</t>
  </si>
  <si>
    <t>493_India Singapore_2005Cut.txt</t>
  </si>
  <si>
    <t>520_Japan Singapore_2002Cut.txt</t>
  </si>
  <si>
    <t>534_Jordan Singapore_2004Cut.txt</t>
  </si>
  <si>
    <t>550_Korea Singapore_2005Cut.txt</t>
  </si>
  <si>
    <t>631_New Zealand Singapore_2000Cut.txt</t>
  </si>
  <si>
    <t>641_Panama Singapore_2006Cut.txt</t>
  </si>
  <si>
    <t>644_Peru Singapore_2008Cut.txt</t>
  </si>
  <si>
    <t>658_Singapore US_2003Cut.txt</t>
  </si>
  <si>
    <t>814_Costa Rica Singapore_2010 cut.txt</t>
  </si>
  <si>
    <t>82_Australia Singapore_2003Cut.txt</t>
  </si>
  <si>
    <t>517_Japan Malaysia_2005Cut.txt</t>
  </si>
  <si>
    <t>599_Malaysia Pakistan_2007Cut.txt</t>
  </si>
  <si>
    <t>795_Australia Malaysia_2012 cut.txt</t>
  </si>
  <si>
    <t>800_Chile Malaysia_2010 cut.txt</t>
  </si>
  <si>
    <t>771_Peru Thailand_2005Cut.txt</t>
  </si>
  <si>
    <t>632_New Zealand Thailand_2005Cut.txt</t>
  </si>
  <si>
    <t>83_Australia Thailand_2004.txt</t>
  </si>
  <si>
    <t>523_Japan Vietnam_2008Cut.txt</t>
  </si>
  <si>
    <t>146_Brunei Japan_2007Cut.txt</t>
  </si>
  <si>
    <t>519_Japan Philippines_2006Cut.txt</t>
  </si>
  <si>
    <t>Retention rate</t>
  </si>
  <si>
    <t>% of ASEAN GDP</t>
  </si>
  <si>
    <t>Bilateral  FTAs</t>
  </si>
  <si>
    <t>2024 GDP (USD bn)</t>
  </si>
  <si>
    <t>Trade as GDP (%)</t>
  </si>
  <si>
    <t>CA-China (2020).txt</t>
  </si>
  <si>
    <t>CA-ROK (2021).txt</t>
  </si>
  <si>
    <t>CA-UAE (2023).txt</t>
  </si>
  <si>
    <t>ID-Aus (2019).txt</t>
  </si>
  <si>
    <t>ID-Canada (2025).txt</t>
  </si>
  <si>
    <t>ID-Chile (2017).txt</t>
  </si>
  <si>
    <t>ID-EFTA (2018).txt</t>
  </si>
  <si>
    <t>ID-Japan (2007).txt</t>
  </si>
  <si>
    <t>ID-ROK (2020).txt</t>
  </si>
  <si>
    <t>ID-UAE (2022).txt</t>
  </si>
  <si>
    <t>LA-US (2003).txt</t>
  </si>
  <si>
    <t>MY-EFTA (2025).txt</t>
  </si>
  <si>
    <t>MY-India (2011).txt</t>
  </si>
  <si>
    <t>MY-NZ (2009).txt</t>
  </si>
  <si>
    <t>MY-Turkey (2022).txt</t>
  </si>
  <si>
    <t>MY-UAE (2025).txt</t>
  </si>
  <si>
    <t>PH-EFTA (2016).txt</t>
  </si>
  <si>
    <t>PH-Korea (2023).txt</t>
  </si>
  <si>
    <t>874_EC Singapore_ (cut) + Investment (2018).txt</t>
  </si>
  <si>
    <t>SG-Armenia (2019).txt</t>
  </si>
  <si>
    <t>SG-China (2023).txt</t>
  </si>
  <si>
    <t>SG-Costa Rica (2010).txt</t>
  </si>
  <si>
    <t>SG-Kazakh (2023).txt</t>
  </si>
  <si>
    <t>SG-Mercosur (2023).txt</t>
  </si>
  <si>
    <t>SG-Pacific Alliance (2022).txt</t>
  </si>
  <si>
    <t>SG-TW (2013).txt</t>
  </si>
  <si>
    <t>TH-Chile (2013).txt</t>
  </si>
  <si>
    <t>TH-EFTA (2025).txt</t>
  </si>
  <si>
    <t>TH-India (2003).txt</t>
  </si>
  <si>
    <t>TH-Japan (2007).txt</t>
  </si>
  <si>
    <t>VN-Chile (2011).txt</t>
  </si>
  <si>
    <t>VN-EEU (2015).txt</t>
  </si>
  <si>
    <t>VN-EU + Investment (2019).txt</t>
  </si>
  <si>
    <t>VN-Israel (2023).txt</t>
  </si>
  <si>
    <t>VN-ROK (2015).txt</t>
  </si>
  <si>
    <t>VN-UAE (2024).txt</t>
  </si>
  <si>
    <t>VN-US (2000).txt</t>
  </si>
  <si>
    <t>External (Wcopyfind)</t>
  </si>
  <si>
    <t>Internal (Wcopyfind)</t>
  </si>
  <si>
    <t>Internal (python)</t>
  </si>
  <si>
    <t>External (python)</t>
  </si>
  <si>
    <t>Trade in Goods balance(USD bn)</t>
  </si>
  <si>
    <t>Share of intra-ASEAN trade in goods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</si>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</sst>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\%"/>
    <numFmt numFmtId="166" formatCode="&quot;$&quot;#,##0.00"/>
  </numFmts>
  <fonts count="9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u/>
      <sz val="12"/>
      <color theme="1"/>
      <name val="Aptos Narrow"/>
      <scheme val="minor"/>
    </font>
    <font>
      <sz val="12"/>
      <color theme="1"/>
      <name val="-webkit-standard"/>
    </font>
    <font>
      <u/>
      <sz val="12"/>
      <color theme="10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name val="Aptos Narrow"/>
      <scheme val="minor"/>
    </font>
    <font>
      <sz val="12"/>
      <name val="-webkit-standard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10" fontId="0" fillId="0" borderId="0" xfId="0" applyNumberFormat="1"/>
    <xf numFmtId="0" fontId="4" fillId="0" borderId="0" xfId="1"/>
    <xf numFmtId="9" fontId="3" fillId="0" borderId="0" xfId="0" applyNumberFormat="1" applyFont="1"/>
    <xf numFmtId="9" fontId="5" fillId="0" borderId="0" xfId="0" applyNumberFormat="1" applyFont="1"/>
    <xf numFmtId="9" fontId="5" fillId="0" borderId="0" xfId="1" applyNumberFormat="1" applyFont="1"/>
    <xf numFmtId="0" fontId="6" fillId="0" borderId="0" xfId="0" applyFont="1"/>
    <xf numFmtId="10" fontId="6" fillId="0" borderId="0" xfId="0" applyNumberFormat="1" applyFont="1"/>
    <xf numFmtId="9" fontId="7" fillId="0" borderId="0" xfId="0" applyNumberFormat="1" applyFont="1"/>
    <xf numFmtId="0" fontId="5" fillId="0" borderId="0" xfId="0" applyFont="1"/>
    <xf numFmtId="0" fontId="5" fillId="0" borderId="0" xfId="1" applyFont="1"/>
    <xf numFmtId="10" fontId="6" fillId="0" borderId="0" xfId="0" applyNumberFormat="1" applyFont="1" applyAlignment="1">
      <alignment horizontal="center"/>
    </xf>
    <xf numFmtId="164" fontId="6" fillId="0" borderId="0" xfId="0" applyNumberFormat="1" applyFont="1"/>
    <xf numFmtId="9" fontId="0" fillId="0" borderId="0" xfId="0" applyNumberFormat="1"/>
    <xf numFmtId="10" fontId="5" fillId="0" borderId="0" xfId="0" applyNumberFormat="1" applyFont="1"/>
    <xf numFmtId="165" fontId="0" fillId="0" borderId="0" xfId="0" applyNumberFormat="1"/>
    <xf numFmtId="0" fontId="8" fillId="0" borderId="0" xfId="0" applyFont="1"/>
    <xf numFmtId="165" fontId="6" fillId="0" borderId="0" xfId="0" applyNumberFormat="1" applyFont="1"/>
    <xf numFmtId="165" fontId="8" fillId="0" borderId="0" xfId="0" applyNumberFormat="1" applyFont="1"/>
    <xf numFmtId="166" fontId="0" fillId="0" borderId="0" xfId="0" applyNumberFormat="1"/>
    <xf numFmtId="10" fontId="2" fillId="0" borderId="0" xfId="0" applyNumberFormat="1" applyFont="1"/>
    <xf numFmtId="0" fontId="7" fillId="0" borderId="0" xfId="0" applyFont="1"/>
    <xf numFmtId="10" fontId="6" fillId="0" borderId="0" xfId="0" applyNumberFormat="1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../../Documents/Publications/SG%20Economic%20Treaties/FTAs/CA-China%20(2020).txt.ASEAN%20FTA.txt.html" TargetMode="External"/><Relationship Id="rId18" Type="http://schemas.openxmlformats.org/officeDocument/2006/relationships/hyperlink" Target="../../../../../../Documents/Publications/SG%20Economic%20Treaties/FTAs/ID-Chile%20(2017).txt.ASEAN%20FTA.txt.html" TargetMode="External"/><Relationship Id="rId26" Type="http://schemas.openxmlformats.org/officeDocument/2006/relationships/hyperlink" Target="../../../../../../Documents/Publications/SG%20Economic%20Treaties/FTAs/800_Chile%20Malaysia_2010%20cut.txt.ASEAN%20FTA.txt.html" TargetMode="External"/><Relationship Id="rId39" Type="http://schemas.openxmlformats.org/officeDocument/2006/relationships/hyperlink" Target="../../../../../../Documents/Publications/SG%20Economic%20Treaties/FTAs/641_Panama%20Singapore_2006Cut.txt.ASEAN%20FTA.txt.html" TargetMode="External"/><Relationship Id="rId21" Type="http://schemas.openxmlformats.org/officeDocument/2006/relationships/hyperlink" Target="../../../../../../Documents/Publications/SG%20Economic%20Treaties/FTAs/ID-ROK%20(2020).txt.ASEAN%20FTA.txt.html" TargetMode="External"/><Relationship Id="rId34" Type="http://schemas.openxmlformats.org/officeDocument/2006/relationships/hyperlink" Target="../../../../../../Documents/Publications/SG%20Economic%20Treaties/FTAs/493_India%20Singapore_2005Cut.txt.ASEAN%20FTA.txt.html" TargetMode="External"/><Relationship Id="rId42" Type="http://schemas.openxmlformats.org/officeDocument/2006/relationships/hyperlink" Target="../../../../../../Documents/Publications/SG%20Economic%20Treaties/FTAs/814_Costa%20Rica%20Singapore_2010%20cut.txt.ASEAN%20FTA.txt.html" TargetMode="External"/><Relationship Id="rId47" Type="http://schemas.openxmlformats.org/officeDocument/2006/relationships/hyperlink" Target="../../../../../../Documents/Publications/SG%20Economic%20Treaties/FTAs/SG-Costa%20Rica%20(2010).txt.ASEAN%20FTA.txt.html" TargetMode="External"/><Relationship Id="rId50" Type="http://schemas.openxmlformats.org/officeDocument/2006/relationships/hyperlink" Target="../../../../../../Documents/Publications/SG%20Economic%20Treaties/FTAs/SG-Pacific%20Alliance%20(2022).txt.ASEAN%20FTA.txt.html" TargetMode="External"/><Relationship Id="rId55" Type="http://schemas.openxmlformats.org/officeDocument/2006/relationships/hyperlink" Target="../../../../../../Documents/Publications/SG%20Economic%20Treaties/FTAs/VN-EU%20+%20Investment%20(2019).txt.ASEAN%20FTA.txt.html" TargetMode="External"/><Relationship Id="rId7" Type="http://schemas.openxmlformats.org/officeDocument/2006/relationships/hyperlink" Target="771_Peru%20Thailand_2005Cut.txt.ACIA.txt.html" TargetMode="External"/><Relationship Id="rId2" Type="http://schemas.openxmlformats.org/officeDocument/2006/relationships/hyperlink" Target="146_Brunei%20Japan_2007Cut.txt.ACIA.txt.html" TargetMode="External"/><Relationship Id="rId16" Type="http://schemas.openxmlformats.org/officeDocument/2006/relationships/hyperlink" Target="../../../../../../Documents/Publications/SG%20Economic%20Treaties/FTAs/ID-Aus%20(2019).txt.ASEAN%20FTA.txt.html" TargetMode="External"/><Relationship Id="rId29" Type="http://schemas.openxmlformats.org/officeDocument/2006/relationships/hyperlink" Target="../../../../../../Documents/Publications/SG%20Economic%20Treaties/FTAs/MY-NZ%20(2009).txt.ASEAN%20FTA.txt.html" TargetMode="External"/><Relationship Id="rId11" Type="http://schemas.openxmlformats.org/officeDocument/2006/relationships/hyperlink" Target="TH-India.txt.ACIA.txt.html" TargetMode="External"/><Relationship Id="rId24" Type="http://schemas.openxmlformats.org/officeDocument/2006/relationships/hyperlink" Target="../../../../../../Documents/Publications/SG%20Economic%20Treaties/FTAs/599_Malaysia%20Pakistan_2007Cut.txt.ASEAN%20FTA.txt.html" TargetMode="External"/><Relationship Id="rId32" Type="http://schemas.openxmlformats.org/officeDocument/2006/relationships/hyperlink" Target="../../../../../../Documents/Publications/SG%20Economic%20Treaties/FTAs/396_EFTA%20Singapore_2002Cut.txt.ASEAN%20FTA.txt.html" TargetMode="External"/><Relationship Id="rId37" Type="http://schemas.openxmlformats.org/officeDocument/2006/relationships/hyperlink" Target="../../../../../../Documents/Publications/SG%20Economic%20Treaties/FTAs/550_Korea%20Singapore_2005Cut.txt.ASEAN%20FTA.txt.html" TargetMode="External"/><Relationship Id="rId40" Type="http://schemas.openxmlformats.org/officeDocument/2006/relationships/hyperlink" Target="../../../../../../Documents/Publications/SG%20Economic%20Treaties/FTAs/644_Peru%20Singapore_2008Cut.txt.ASEAN%20FTA.txt.html" TargetMode="External"/><Relationship Id="rId45" Type="http://schemas.openxmlformats.org/officeDocument/2006/relationships/hyperlink" Target="../../../../../../Documents/Publications/SG%20Economic%20Treaties/FTAs/SG-Armenia%20(2019).txt.ASEAN%20FTA.txt.html" TargetMode="External"/><Relationship Id="rId53" Type="http://schemas.openxmlformats.org/officeDocument/2006/relationships/hyperlink" Target="../../../../../../Documents/Publications/SG%20Economic%20Treaties/FTAs/VN-Chile%20(2011).txt.ASEAN%20FTA.txt.html" TargetMode="External"/><Relationship Id="rId58" Type="http://schemas.openxmlformats.org/officeDocument/2006/relationships/hyperlink" Target="../../../../../../Documents/Publications/SG%20Economic%20Treaties/FTAs/VN-UAE%20(2024).txt.ASEAN%20FTA.txt.html" TargetMode="External"/><Relationship Id="rId5" Type="http://schemas.openxmlformats.org/officeDocument/2006/relationships/hyperlink" Target="PH-Korea.txt.ACIA.txt.html" TargetMode="External"/><Relationship Id="rId19" Type="http://schemas.openxmlformats.org/officeDocument/2006/relationships/hyperlink" Target="../../../../../../Documents/Publications/SG%20Economic%20Treaties/FTAs/ID-EFTA%20(2018).txt.ASEAN%20FTA.txt.html" TargetMode="External"/><Relationship Id="rId4" Type="http://schemas.openxmlformats.org/officeDocument/2006/relationships/hyperlink" Target="PH-EFTA.txt.ACIA.txt.html" TargetMode="External"/><Relationship Id="rId9" Type="http://schemas.openxmlformats.org/officeDocument/2006/relationships/hyperlink" Target="TH-Chile.txt.ACIA.txt.html" TargetMode="External"/><Relationship Id="rId14" Type="http://schemas.openxmlformats.org/officeDocument/2006/relationships/hyperlink" Target="../../../../../../Documents/Publications/SG%20Economic%20Treaties/FTAs/CA-ROK%20(2021).txt.ASEAN%20FTA.txt.html" TargetMode="External"/><Relationship Id="rId22" Type="http://schemas.openxmlformats.org/officeDocument/2006/relationships/hyperlink" Target="../../../../../../Documents/Publications/SG%20Economic%20Treaties/FTAs/ID-UAE%20(2022).txt.ASEAN%20FTA.txt.html" TargetMode="External"/><Relationship Id="rId27" Type="http://schemas.openxmlformats.org/officeDocument/2006/relationships/hyperlink" Target="../../../../../../Documents/Publications/SG%20Economic%20Treaties/FTAs/MY-EFTA%20(2025).txt.ASEAN%20FTA.txt.html" TargetMode="External"/><Relationship Id="rId30" Type="http://schemas.openxmlformats.org/officeDocument/2006/relationships/hyperlink" Target="../../../../../../Documents/Publications/SG%20Economic%20Treaties/FTAs/MY-Turkey%20(2022).txt.ASEAN%20FTA.txt.html" TargetMode="External"/><Relationship Id="rId35" Type="http://schemas.openxmlformats.org/officeDocument/2006/relationships/hyperlink" Target="../../../../../../Documents/Publications/SG%20Economic%20Treaties/FTAs/520_Japan%20Singapore_2002Cut.txt.ASEAN%20FTA.txt.html" TargetMode="External"/><Relationship Id="rId43" Type="http://schemas.openxmlformats.org/officeDocument/2006/relationships/hyperlink" Target="../../../../../../Documents/Publications/SG%20Economic%20Treaties/FTAs/82_Australia%20Singapore_2003Cut.txt.ASEAN%20FTA.txt.html" TargetMode="External"/><Relationship Id="rId48" Type="http://schemas.openxmlformats.org/officeDocument/2006/relationships/hyperlink" Target="../../../../../../Documents/Publications/SG%20Economic%20Treaties/FTAs/SG-Kazakh%20(2023).txt.ASEAN%20FTA.txt.html" TargetMode="External"/><Relationship Id="rId56" Type="http://schemas.openxmlformats.org/officeDocument/2006/relationships/hyperlink" Target="../../../../../../Documents/Publications/SG%20Economic%20Treaties/FTAs/VN-Israel%20(2023).txt.ASEAN%20FTA.txt.html" TargetMode="External"/><Relationship Id="rId8" Type="http://schemas.openxmlformats.org/officeDocument/2006/relationships/hyperlink" Target="83_Australia%20Thailand_2004.txt.ACIA.txt.html" TargetMode="External"/><Relationship Id="rId51" Type="http://schemas.openxmlformats.org/officeDocument/2006/relationships/hyperlink" Target="../../../../../../Documents/Publications/SG%20Economic%20Treaties/FTAs/SG-TW%20(2013).txt.ASEAN%20FTA.txt.html" TargetMode="External"/><Relationship Id="rId3" Type="http://schemas.openxmlformats.org/officeDocument/2006/relationships/hyperlink" Target="519_Japan%20Philippines_2006Cut.txt.ACIA.txt.html" TargetMode="External"/><Relationship Id="rId12" Type="http://schemas.openxmlformats.org/officeDocument/2006/relationships/hyperlink" Target="TH-Japan.txt.ACIA.txt.html" TargetMode="External"/><Relationship Id="rId17" Type="http://schemas.openxmlformats.org/officeDocument/2006/relationships/hyperlink" Target="../../../../../../Documents/Publications/SG%20Economic%20Treaties/FTAs/ID-Canada%20(2025).txt.ASEAN%20FTA.txt.html" TargetMode="External"/><Relationship Id="rId25" Type="http://schemas.openxmlformats.org/officeDocument/2006/relationships/hyperlink" Target="../../../../../../Documents/Publications/SG%20Economic%20Treaties/FTAs/795_Australia%20Malaysia_2012%20cut.txt.ASEAN%20FTA.txt.html" TargetMode="External"/><Relationship Id="rId33" Type="http://schemas.openxmlformats.org/officeDocument/2006/relationships/hyperlink" Target="../../../../../../Documents/Publications/SG%20Economic%20Treaties/FTAs/475_Gulf%20Cooperation%20Council%20(GCC)%20Singapore_2008Cut.txt.ASEAN%20FTA.txt.html" TargetMode="External"/><Relationship Id="rId38" Type="http://schemas.openxmlformats.org/officeDocument/2006/relationships/hyperlink" Target="../../../../../../Documents/Publications/SG%20Economic%20Treaties/FTAs/631_New%20Zealand%20Singapore_2000Cut.txt.ASEAN%20FTA.txt.html" TargetMode="External"/><Relationship Id="rId46" Type="http://schemas.openxmlformats.org/officeDocument/2006/relationships/hyperlink" Target="../../../../../../Documents/Publications/SG%20Economic%20Treaties/FTAs/SG-China%20(2023).txt.ASEAN%20FTA.txt.html" TargetMode="External"/><Relationship Id="rId59" Type="http://schemas.openxmlformats.org/officeDocument/2006/relationships/hyperlink" Target="../../../../../../Documents/Publications/SG%20Economic%20Treaties/FTAs/VN-US%20(2000).txt.ASEAN%20FTA.txt.html" TargetMode="External"/><Relationship Id="rId20" Type="http://schemas.openxmlformats.org/officeDocument/2006/relationships/hyperlink" Target="../../../../../../Documents/Publications/SG%20Economic%20Treaties/FTAs/ID-Japan%20(2007).txt.ASEAN%20FTA.txt.html" TargetMode="External"/><Relationship Id="rId41" Type="http://schemas.openxmlformats.org/officeDocument/2006/relationships/hyperlink" Target="../../../../../../Documents/Publications/SG%20Economic%20Treaties/FTAs/658_Singapore%20US_2003Cut.txt.ASEAN%20FTA.txt.html" TargetMode="External"/><Relationship Id="rId54" Type="http://schemas.openxmlformats.org/officeDocument/2006/relationships/hyperlink" Target="../../../../../../Documents/Publications/SG%20Economic%20Treaties/FTAs/VN-EEU%20(2015).txt.ASEAN%20FTA.txt.html" TargetMode="External"/><Relationship Id="rId1" Type="http://schemas.openxmlformats.org/officeDocument/2006/relationships/hyperlink" Target="LA-US.txt.ACIA.txt.html" TargetMode="External"/><Relationship Id="rId6" Type="http://schemas.openxmlformats.org/officeDocument/2006/relationships/hyperlink" Target="632_New%20Zealand%20Thailand_2005Cut.txt.ACIA.txt.html" TargetMode="External"/><Relationship Id="rId15" Type="http://schemas.openxmlformats.org/officeDocument/2006/relationships/hyperlink" Target="../../../../../../Documents/Publications/SG%20Economic%20Treaties/FTAs/CA-UAE%20(2023).txt.ASEAN%20FTA.txt.html" TargetMode="External"/><Relationship Id="rId23" Type="http://schemas.openxmlformats.org/officeDocument/2006/relationships/hyperlink" Target="../../../../../../Documents/Publications/SG%20Economic%20Treaties/FTAs/517_Japan%20Malaysia_2005Cut.txt.ASEAN%20FTA.txt.html" TargetMode="External"/><Relationship Id="rId28" Type="http://schemas.openxmlformats.org/officeDocument/2006/relationships/hyperlink" Target="../../../../../../Documents/Publications/SG%20Economic%20Treaties/FTAs/MY-India%20(2011).txt.ASEAN%20FTA.txt.html" TargetMode="External"/><Relationship Id="rId36" Type="http://schemas.openxmlformats.org/officeDocument/2006/relationships/hyperlink" Target="../../../../../../Documents/Publications/SG%20Economic%20Treaties/FTAs/534_Jordan%20Singapore_2004Cut.txt.ASEAN%20FTA.txt.html" TargetMode="External"/><Relationship Id="rId49" Type="http://schemas.openxmlformats.org/officeDocument/2006/relationships/hyperlink" Target="../../../../../../Documents/Publications/SG%20Economic%20Treaties/FTAs/SG-Mercosur%20(2023).txt.ASEAN%20FTA.txt.html" TargetMode="External"/><Relationship Id="rId57" Type="http://schemas.openxmlformats.org/officeDocument/2006/relationships/hyperlink" Target="../../../../../../Documents/Publications/SG%20Economic%20Treaties/FTAs/VN-ROK%20(2015).txt.ASEAN%20FTA.txt.html" TargetMode="External"/><Relationship Id="rId10" Type="http://schemas.openxmlformats.org/officeDocument/2006/relationships/hyperlink" Target="TH-EFTA.txt.ACIA.txt.html" TargetMode="External"/><Relationship Id="rId31" Type="http://schemas.openxmlformats.org/officeDocument/2006/relationships/hyperlink" Target="../../../../../../Documents/Publications/SG%20Economic%20Treaties/FTAs/MY-UAE%20(2025).txt.ASEAN%20FTA.txt.html" TargetMode="External"/><Relationship Id="rId44" Type="http://schemas.openxmlformats.org/officeDocument/2006/relationships/hyperlink" Target="../../../../../../Documents/Publications/SG%20Economic%20Treaties/FTAs/874_EC%20Singapore_%20(cut)%20+%20Investment%20(2018).txt.ASEAN%20FTA.txt.html" TargetMode="External"/><Relationship Id="rId52" Type="http://schemas.openxmlformats.org/officeDocument/2006/relationships/hyperlink" Target="../../../../../../Documents/Publications/SG%20Economic%20Treaties/FTAs/523_Japan%20Vietnam_2008Cut.txt.ASEAN%20FTA.tx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1F77C-7561-4048-A51F-857BB8780EFB}">
  <dimension ref="A1:L15"/>
  <sheetViews>
    <sheetView tabSelected="1" topLeftCell="C1" zoomScale="107" workbookViewId="0">
      <selection activeCell="L14" sqref="L14"/>
    </sheetView>
  </sheetViews>
  <sheetFormatPr baseColWidth="10" defaultRowHeight="16"/>
  <cols>
    <col min="1" max="1" width="11.1640625" bestFit="1" customWidth="1"/>
    <col min="2" max="2" width="12.83203125" bestFit="1" customWidth="1"/>
    <col min="3" max="3" width="17" bestFit="1" customWidth="1"/>
    <col min="4" max="4" width="14.83203125" bestFit="1" customWidth="1"/>
    <col min="5" max="5" width="15.33203125" bestFit="1" customWidth="1"/>
    <col min="6" max="6" width="28" bestFit="1" customWidth="1"/>
    <col min="7" max="7" width="30.6640625" bestFit="1" customWidth="1"/>
    <col min="8" max="8" width="15.33203125" bestFit="1" customWidth="1"/>
    <col min="9" max="9" width="21.83203125" bestFit="1" customWidth="1"/>
    <col min="10" max="10" width="15.6640625" bestFit="1" customWidth="1"/>
    <col min="11" max="11" width="18.83203125" bestFit="1" customWidth="1"/>
    <col min="12" max="12" width="13" bestFit="1" customWidth="1"/>
  </cols>
  <sheetData>
    <row r="1" spans="1:12">
      <c r="B1" s="2" t="s">
        <v>37</v>
      </c>
      <c r="C1" s="2" t="s">
        <v>38</v>
      </c>
      <c r="D1" s="2" t="s">
        <v>36</v>
      </c>
      <c r="E1" s="2" t="s">
        <v>39</v>
      </c>
      <c r="F1" s="2" t="s">
        <v>81</v>
      </c>
      <c r="G1" s="2" t="s">
        <v>82</v>
      </c>
      <c r="H1" s="2" t="s">
        <v>79</v>
      </c>
      <c r="I1" s="2" t="s">
        <v>78</v>
      </c>
      <c r="J1" s="2" t="s">
        <v>80</v>
      </c>
      <c r="K1" s="2" t="s">
        <v>77</v>
      </c>
      <c r="L1" s="2" t="s">
        <v>35</v>
      </c>
    </row>
    <row r="2" spans="1:12">
      <c r="A2" s="1" t="s">
        <v>3</v>
      </c>
      <c r="B2">
        <v>1</v>
      </c>
      <c r="C2">
        <v>15.34</v>
      </c>
      <c r="D2" s="3">
        <f>C2/SUM(C2:C12)</f>
        <v>3.849841137585392E-3</v>
      </c>
      <c r="E2" s="3">
        <v>1.33</v>
      </c>
      <c r="F2" s="21">
        <v>5</v>
      </c>
      <c r="G2" s="17">
        <v>1</v>
      </c>
      <c r="H2" s="17"/>
      <c r="I2" s="3"/>
      <c r="J2" s="17">
        <f>'ASEAN (python)'!$B$1</f>
        <v>12.67</v>
      </c>
      <c r="K2" s="3">
        <f>'ASEAN (Wcopyfind)'!$B$1</f>
        <v>0.12</v>
      </c>
      <c r="L2" s="22"/>
    </row>
    <row r="3" spans="1:12">
      <c r="A3" s="1" t="s">
        <v>9</v>
      </c>
      <c r="B3">
        <v>4</v>
      </c>
      <c r="C3">
        <v>46.35</v>
      </c>
      <c r="D3" s="3">
        <f>C3/SUM(C2:C12)</f>
        <v>1.1632342681035393E-2</v>
      </c>
      <c r="E3" s="3">
        <v>1.43</v>
      </c>
      <c r="F3" s="21">
        <v>-2.02</v>
      </c>
      <c r="G3" s="17">
        <v>1.9</v>
      </c>
      <c r="H3" s="17">
        <f>'Internal (python)'!$B$1</f>
        <v>12.326666666666668</v>
      </c>
      <c r="I3" s="3">
        <f>'Internal (Wcopyfind)'!$B$1</f>
        <v>0.16500000000000001</v>
      </c>
      <c r="J3" s="17">
        <f>'ASEAN (python)'!$D$1</f>
        <v>8.6550000000000011</v>
      </c>
      <c r="K3" s="3">
        <f>'ASEAN (Wcopyfind)'!$D$1</f>
        <v>7.7499999999999999E-2</v>
      </c>
      <c r="L3" s="3">
        <f>J3/H3</f>
        <v>0.70213628988642507</v>
      </c>
    </row>
    <row r="4" spans="1:12">
      <c r="A4" s="1" t="s">
        <v>4</v>
      </c>
      <c r="B4">
        <v>7</v>
      </c>
      <c r="C4">
        <v>1396.3</v>
      </c>
      <c r="D4" s="3">
        <f>C4/SUM(C2:C12)</f>
        <v>0.35042589181293893</v>
      </c>
      <c r="E4" s="3">
        <v>0.43</v>
      </c>
      <c r="F4" s="21">
        <v>31.33</v>
      </c>
      <c r="G4" s="17">
        <v>12.9</v>
      </c>
      <c r="H4" s="17">
        <f>'Internal (python)'!$D$1</f>
        <v>18.246190476190478</v>
      </c>
      <c r="I4" s="3">
        <f>'Internal (Wcopyfind)'!$D$1</f>
        <v>0.1738095238095238</v>
      </c>
      <c r="J4" s="17">
        <f>'ASEAN (python)'!$F$1</f>
        <v>14.654285714285715</v>
      </c>
      <c r="K4" s="3">
        <f>'ASEAN (Wcopyfind)'!$F$1</f>
        <v>0.13714285714285715</v>
      </c>
      <c r="L4" s="3">
        <f>J4/H4</f>
        <v>0.80314220841923945</v>
      </c>
    </row>
    <row r="5" spans="1:12">
      <c r="A5" s="1" t="s">
        <v>5</v>
      </c>
      <c r="B5">
        <v>1</v>
      </c>
      <c r="C5">
        <v>16.5</v>
      </c>
      <c r="D5" s="3">
        <f>C5/SUM(C2:C12)</f>
        <v>4.1409634139608197E-3</v>
      </c>
      <c r="E5" s="3">
        <v>0.75</v>
      </c>
      <c r="F5" s="21">
        <v>1.53</v>
      </c>
      <c r="G5" s="17">
        <v>1.3</v>
      </c>
      <c r="H5" s="17"/>
      <c r="I5" s="3"/>
      <c r="J5" s="17">
        <f>'ASEAN (python)'!$H$1</f>
        <v>2.4900000000000002</v>
      </c>
      <c r="K5" s="3">
        <f>'ASEAN (Wcopyfind)'!$H$1</f>
        <v>0.02</v>
      </c>
      <c r="L5" s="3"/>
    </row>
    <row r="6" spans="1:12">
      <c r="A6" s="1" t="s">
        <v>1</v>
      </c>
      <c r="B6">
        <v>9</v>
      </c>
      <c r="C6">
        <v>422.23</v>
      </c>
      <c r="D6" s="3">
        <f>C6/SUM(C2:C12)</f>
        <v>0.1059659989258592</v>
      </c>
      <c r="E6" s="3">
        <v>1.37</v>
      </c>
      <c r="F6" s="21">
        <v>30.05</v>
      </c>
      <c r="G6" s="17">
        <v>20.3</v>
      </c>
      <c r="H6" s="17">
        <f>'Internal (python)'!$F$1</f>
        <v>22.640277777777779</v>
      </c>
      <c r="I6" s="3">
        <f>'Internal (Wcopyfind)'!$F$1</f>
        <v>0.21527777777777782</v>
      </c>
      <c r="J6" s="17">
        <f>'ASEAN (python)'!$J$1</f>
        <v>15.821111111111113</v>
      </c>
      <c r="K6" s="3">
        <f>'ASEAN (Wcopyfind)'!$J$1</f>
        <v>0.14777777777777779</v>
      </c>
      <c r="L6" s="3">
        <f>J6/H6</f>
        <v>0.69880375437089759</v>
      </c>
    </row>
    <row r="7" spans="1:12">
      <c r="A7" s="1" t="s">
        <v>6</v>
      </c>
      <c r="B7">
        <v>0</v>
      </c>
      <c r="C7">
        <v>74.069999999999993</v>
      </c>
      <c r="D7" s="3">
        <f>C7/SUM(C2:C12)</f>
        <v>1.8589161216489569E-2</v>
      </c>
      <c r="E7" s="3"/>
      <c r="F7" s="21">
        <v>2.4700000000000002</v>
      </c>
      <c r="G7" s="17">
        <v>1.3</v>
      </c>
      <c r="H7" s="17"/>
      <c r="I7" s="3"/>
      <c r="J7" s="17"/>
      <c r="K7" s="3"/>
      <c r="L7" s="3"/>
    </row>
    <row r="8" spans="1:12">
      <c r="A8" s="1" t="s">
        <v>2</v>
      </c>
      <c r="B8">
        <v>3</v>
      </c>
      <c r="C8">
        <v>461.62</v>
      </c>
      <c r="D8" s="3">
        <f>C8/SUM(C2:C12)</f>
        <v>0.11585160794864204</v>
      </c>
      <c r="E8" s="3">
        <v>0.66</v>
      </c>
      <c r="F8" s="21">
        <v>-71.59</v>
      </c>
      <c r="G8" s="17">
        <v>6.8</v>
      </c>
      <c r="H8" s="17">
        <f>'Internal (python)'!$H$1</f>
        <v>10.176666666666668</v>
      </c>
      <c r="I8" s="3">
        <f>'Internal (Wcopyfind)'!$H$1</f>
        <v>9.3333333333333338E-2</v>
      </c>
      <c r="J8" s="17">
        <f>'ASEAN (python)'!$L$1</f>
        <v>8.7200000000000006</v>
      </c>
      <c r="K8" s="3">
        <f>'ASEAN (Wcopyfind)'!$L$1</f>
        <v>0.08</v>
      </c>
      <c r="L8" s="3">
        <f>J8/H8</f>
        <v>0.85686210284965603</v>
      </c>
    </row>
    <row r="9" spans="1:12">
      <c r="A9" s="1" t="s">
        <v>0</v>
      </c>
      <c r="B9">
        <v>19</v>
      </c>
      <c r="C9">
        <v>547.39</v>
      </c>
      <c r="D9" s="3">
        <f>C9/SUM(C2:C12)</f>
        <v>0.13737708867684928</v>
      </c>
      <c r="E9" s="3">
        <v>3.22</v>
      </c>
      <c r="F9" s="21">
        <v>46.9</v>
      </c>
      <c r="G9" s="17">
        <v>29.2</v>
      </c>
      <c r="H9" s="17">
        <f>'Internal (python)'!$J$1</f>
        <v>21.255131578947381</v>
      </c>
      <c r="I9" s="3">
        <f>'Internal (Wcopyfind)'!$J$1</f>
        <v>0.20350000000000004</v>
      </c>
      <c r="J9" s="17">
        <f>'ASEAN (python)'!$N$1</f>
        <v>13.295499999999999</v>
      </c>
      <c r="K9" s="3">
        <f>'ASEAN (Wcopyfind)'!$N$1</f>
        <v>0.12299999999999997</v>
      </c>
      <c r="L9" s="3">
        <f>J9/H9</f>
        <v>0.62551953398250537</v>
      </c>
    </row>
    <row r="10" spans="1:12">
      <c r="A10" s="1" t="s">
        <v>7</v>
      </c>
      <c r="B10">
        <v>7</v>
      </c>
      <c r="C10">
        <v>526.52</v>
      </c>
      <c r="D10" s="3">
        <f>C10/SUM(C2:C12)</f>
        <v>0.13213939737688793</v>
      </c>
      <c r="E10" s="3">
        <v>1.37</v>
      </c>
      <c r="F10" s="21">
        <v>-6.28</v>
      </c>
      <c r="G10" s="17">
        <v>15.1</v>
      </c>
      <c r="H10" s="17">
        <f>'Internal (python)'!$L$1</f>
        <v>12.736052631578945</v>
      </c>
      <c r="I10" s="3">
        <f>'Internal (Wcopyfind)'!$L$1</f>
        <v>0.12394736842105265</v>
      </c>
      <c r="J10" s="17">
        <f>'ASEAN (python)'!$P$1</f>
        <v>8.3671428571428574</v>
      </c>
      <c r="K10" s="3">
        <f>'ASEAN (Wcopyfind)'!$P$1</f>
        <v>7.571428571428572E-2</v>
      </c>
      <c r="L10" s="3">
        <f>J10/H10</f>
        <v>0.65696516017816942</v>
      </c>
    </row>
    <row r="11" spans="1:12">
      <c r="A11" s="1" t="s">
        <v>11</v>
      </c>
      <c r="B11">
        <v>0</v>
      </c>
      <c r="C11">
        <v>1.87</v>
      </c>
      <c r="D11" s="3">
        <f>C11/SUM(C2:C12)</f>
        <v>4.6930918691555958E-4</v>
      </c>
      <c r="E11" s="3">
        <v>0.95</v>
      </c>
      <c r="F11" s="21"/>
      <c r="G11" s="17"/>
      <c r="H11" s="17"/>
      <c r="J11" s="17"/>
      <c r="L11" s="3"/>
    </row>
    <row r="12" spans="1:12">
      <c r="A12" s="1" t="s">
        <v>8</v>
      </c>
      <c r="B12">
        <v>8</v>
      </c>
      <c r="C12">
        <v>476.39</v>
      </c>
      <c r="D12" s="3">
        <f>C12/SUM(C2:C12)</f>
        <v>0.11955839762283604</v>
      </c>
      <c r="E12" s="3">
        <v>1.74</v>
      </c>
      <c r="F12" s="21">
        <v>24.11</v>
      </c>
      <c r="G12" s="17">
        <v>10.1</v>
      </c>
      <c r="H12" s="17">
        <f>'Internal (python)'!$N$1</f>
        <v>15.512500000000003</v>
      </c>
      <c r="I12" s="3">
        <f>'Internal (Wcopyfind)'!$N$1</f>
        <v>0.14571428571428569</v>
      </c>
      <c r="J12" s="17">
        <f>'ASEAN (python)'!$R$1</f>
        <v>12.005000000000001</v>
      </c>
      <c r="K12" s="3">
        <f>'ASEAN (Wcopyfind)'!$R$1</f>
        <v>0.11124999999999999</v>
      </c>
      <c r="L12" s="3">
        <f>J12/H12</f>
        <v>0.7738920225624496</v>
      </c>
    </row>
    <row r="14" spans="1:12">
      <c r="A14" s="1" t="s">
        <v>83</v>
      </c>
      <c r="H14" s="17">
        <f>SUM(H2:H12)/COUNT(H2:H12)</f>
        <v>16.127640828261132</v>
      </c>
      <c r="I14" s="3">
        <f>SUM(I2:I12)/COUNT(I2:I12)</f>
        <v>0.16008318415085335</v>
      </c>
      <c r="J14" s="17">
        <f t="shared" ref="J14:L14" si="0">SUM(J2:J12)/COUNT(J2:J12)</f>
        <v>10.742004409171075</v>
      </c>
      <c r="K14" s="3">
        <f t="shared" si="0"/>
        <v>9.9153880070546735E-2</v>
      </c>
      <c r="L14" s="3">
        <f t="shared" si="0"/>
        <v>0.73104586746419187</v>
      </c>
    </row>
    <row r="15" spans="1:12">
      <c r="A15" s="1"/>
      <c r="F1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BF72B-A6A8-D949-B486-C1881A6967DF}">
  <dimension ref="A1:N218"/>
  <sheetViews>
    <sheetView workbookViewId="0">
      <selection activeCell="B6" sqref="B6"/>
    </sheetView>
  </sheetViews>
  <sheetFormatPr baseColWidth="10" defaultRowHeight="16"/>
  <sheetData>
    <row r="1" spans="1:14">
      <c r="A1" s="8" t="s">
        <v>9</v>
      </c>
      <c r="B1" s="19">
        <f>SUM(A2:B7)/COUNT(A2:B7)</f>
        <v>12.326666666666668</v>
      </c>
      <c r="C1" s="8" t="s">
        <v>4</v>
      </c>
      <c r="D1" s="19">
        <f>SUM(C2:D22)/COUNT(C2:D22)</f>
        <v>18.246190476190478</v>
      </c>
      <c r="E1" s="8" t="s">
        <v>1</v>
      </c>
      <c r="F1" s="19">
        <f>SUM(E2:F37)/COUNT(E2:F37)</f>
        <v>22.640277777777779</v>
      </c>
      <c r="G1" s="8" t="s">
        <v>2</v>
      </c>
      <c r="H1" s="19">
        <f>SUM(G2:H4)/COUNT(G2:H4)</f>
        <v>10.176666666666668</v>
      </c>
      <c r="I1" s="8" t="s">
        <v>0</v>
      </c>
      <c r="J1" s="19">
        <f>SUM(I2:J191)/COUNT(I2:J191)</f>
        <v>21.255131578947381</v>
      </c>
      <c r="K1" s="8" t="s">
        <v>7</v>
      </c>
      <c r="L1" s="19">
        <f>SUM(K2:L20)/COUNT(K2:L20)</f>
        <v>12.736052631578945</v>
      </c>
      <c r="M1" s="8" t="s">
        <v>8</v>
      </c>
      <c r="N1" s="19">
        <f>SUM(M2:N29)/COUNT(M2:N29)</f>
        <v>15.512500000000003</v>
      </c>
    </row>
    <row r="2" spans="1:14">
      <c r="A2" s="20">
        <v>21.31</v>
      </c>
      <c r="B2" s="20">
        <v>20.79</v>
      </c>
      <c r="C2" s="17">
        <v>36.270000000000003</v>
      </c>
      <c r="D2" s="17">
        <v>17.03</v>
      </c>
      <c r="E2" s="20">
        <v>31.94</v>
      </c>
      <c r="F2" s="20">
        <v>41.56</v>
      </c>
      <c r="G2" s="20">
        <v>5.74</v>
      </c>
      <c r="H2" s="20">
        <v>11.14</v>
      </c>
      <c r="I2" s="17">
        <v>27.08</v>
      </c>
      <c r="J2" s="17">
        <v>14.71</v>
      </c>
      <c r="K2" s="17">
        <v>0.84</v>
      </c>
      <c r="L2" s="17">
        <v>16.03</v>
      </c>
      <c r="M2" s="20">
        <v>16.8</v>
      </c>
      <c r="N2" s="20">
        <v>22.16</v>
      </c>
    </row>
    <row r="3" spans="1:14">
      <c r="A3" s="20">
        <v>29.79</v>
      </c>
      <c r="B3" s="20">
        <v>16.71</v>
      </c>
      <c r="C3" s="17">
        <v>12.16</v>
      </c>
      <c r="D3" s="17">
        <v>31.88</v>
      </c>
      <c r="E3" s="20">
        <v>21.27</v>
      </c>
      <c r="F3" s="20">
        <v>14.31</v>
      </c>
      <c r="G3" s="20">
        <v>10.14</v>
      </c>
      <c r="H3" s="20">
        <v>13.07</v>
      </c>
      <c r="I3" s="17">
        <v>32.25</v>
      </c>
      <c r="J3" s="17">
        <v>10.5</v>
      </c>
      <c r="K3" s="17">
        <v>60.95</v>
      </c>
      <c r="L3" s="17">
        <v>55.18</v>
      </c>
      <c r="M3" s="20">
        <v>19.47</v>
      </c>
      <c r="N3" s="20">
        <v>12.15</v>
      </c>
    </row>
    <row r="4" spans="1:14">
      <c r="A4" s="20">
        <v>0.4</v>
      </c>
      <c r="B4" s="20">
        <v>3.17</v>
      </c>
      <c r="C4" s="17">
        <v>5.56</v>
      </c>
      <c r="D4" s="17">
        <v>16.14</v>
      </c>
      <c r="E4" s="20">
        <v>12.93</v>
      </c>
      <c r="F4" s="20">
        <v>22.41</v>
      </c>
      <c r="G4" s="20">
        <v>12.6</v>
      </c>
      <c r="H4" s="20">
        <v>8.3699999999999992</v>
      </c>
      <c r="I4" s="17">
        <v>29.31</v>
      </c>
      <c r="J4" s="17">
        <v>12.75</v>
      </c>
      <c r="K4" s="17">
        <v>25.24</v>
      </c>
      <c r="L4" s="17">
        <v>20.72</v>
      </c>
      <c r="M4" s="20">
        <v>17.73</v>
      </c>
      <c r="N4" s="20">
        <v>3.94</v>
      </c>
    </row>
    <row r="5" spans="1:14">
      <c r="A5" s="20">
        <v>29.57</v>
      </c>
      <c r="B5" s="20">
        <v>16.989999999999998</v>
      </c>
      <c r="C5" s="17">
        <v>10.61</v>
      </c>
      <c r="D5" s="17">
        <v>19.84</v>
      </c>
      <c r="E5" s="20">
        <v>13.45</v>
      </c>
      <c r="F5" s="20">
        <v>12.1</v>
      </c>
      <c r="G5" s="17"/>
      <c r="H5" s="17"/>
      <c r="I5" s="17">
        <v>14.8</v>
      </c>
      <c r="J5" s="17">
        <v>15.23</v>
      </c>
      <c r="K5" s="17">
        <v>10.94</v>
      </c>
      <c r="L5" s="17">
        <v>10.96</v>
      </c>
      <c r="M5" s="20">
        <v>15.21</v>
      </c>
      <c r="N5" s="20">
        <v>10.59</v>
      </c>
    </row>
    <row r="6" spans="1:14">
      <c r="A6" s="20">
        <v>0.4</v>
      </c>
      <c r="B6" s="20">
        <v>3.2</v>
      </c>
      <c r="C6" s="17">
        <v>21.75</v>
      </c>
      <c r="D6" s="17">
        <v>34.74</v>
      </c>
      <c r="E6" s="20">
        <v>23.51</v>
      </c>
      <c r="F6" s="20">
        <v>20.28</v>
      </c>
      <c r="G6" s="17"/>
      <c r="H6" s="17"/>
      <c r="I6" s="17">
        <v>26.41</v>
      </c>
      <c r="J6" s="17">
        <v>8.1999999999999993</v>
      </c>
      <c r="K6" s="17">
        <v>0.91</v>
      </c>
      <c r="L6" s="17">
        <v>9.67</v>
      </c>
      <c r="M6" s="20">
        <v>29.05</v>
      </c>
      <c r="N6" s="20">
        <v>15.32</v>
      </c>
    </row>
    <row r="7" spans="1:14">
      <c r="A7" s="20">
        <v>0.37</v>
      </c>
      <c r="B7" s="20">
        <v>5.22</v>
      </c>
      <c r="C7" s="17">
        <v>20.25</v>
      </c>
      <c r="D7" s="17">
        <v>24.09</v>
      </c>
      <c r="E7" s="20">
        <v>19.54</v>
      </c>
      <c r="F7" s="20">
        <v>17.53</v>
      </c>
      <c r="G7" s="17"/>
      <c r="H7" s="17"/>
      <c r="I7" s="17">
        <v>22.18</v>
      </c>
      <c r="J7" s="17">
        <v>16.489999999999998</v>
      </c>
      <c r="K7" s="17">
        <v>16.23</v>
      </c>
      <c r="L7" s="17">
        <v>12.67</v>
      </c>
      <c r="M7" s="20">
        <v>23.18</v>
      </c>
      <c r="N7" s="20">
        <v>13.54</v>
      </c>
    </row>
    <row r="8" spans="1:14">
      <c r="A8" s="17"/>
      <c r="B8" s="17"/>
      <c r="C8" s="17">
        <v>4.38</v>
      </c>
      <c r="D8" s="17">
        <v>24.45</v>
      </c>
      <c r="E8" s="20">
        <v>22.71</v>
      </c>
      <c r="F8" s="20">
        <v>16.11</v>
      </c>
      <c r="G8" s="17"/>
      <c r="H8" s="17"/>
      <c r="I8" s="17">
        <v>22.29</v>
      </c>
      <c r="J8" s="17">
        <v>7.31</v>
      </c>
      <c r="K8" s="17">
        <v>13.25</v>
      </c>
      <c r="L8" s="17">
        <v>0.63</v>
      </c>
      <c r="M8" s="20">
        <v>10.28</v>
      </c>
      <c r="N8" s="20">
        <v>11.2</v>
      </c>
    </row>
    <row r="9" spans="1:14">
      <c r="A9" s="17"/>
      <c r="B9" s="17"/>
      <c r="C9" s="17">
        <v>2.92</v>
      </c>
      <c r="D9" s="17">
        <v>18.04</v>
      </c>
      <c r="E9" s="20">
        <v>17.829999999999998</v>
      </c>
      <c r="F9" s="20">
        <v>12.66</v>
      </c>
      <c r="G9" s="17"/>
      <c r="H9" s="17"/>
      <c r="I9" s="17">
        <v>17.36</v>
      </c>
      <c r="J9" s="17">
        <v>5.58</v>
      </c>
      <c r="K9" s="17">
        <v>8.5</v>
      </c>
      <c r="L9" s="17">
        <v>0.37</v>
      </c>
      <c r="M9" s="20">
        <v>19.309999999999999</v>
      </c>
      <c r="N9" s="20">
        <v>9.1300000000000008</v>
      </c>
    </row>
    <row r="10" spans="1:14">
      <c r="A10" s="17"/>
      <c r="B10" s="17"/>
      <c r="C10" s="17">
        <v>4.95</v>
      </c>
      <c r="D10" s="17">
        <v>19.73</v>
      </c>
      <c r="E10" s="20">
        <v>28.8</v>
      </c>
      <c r="F10" s="20">
        <v>14.9</v>
      </c>
      <c r="G10" s="17"/>
      <c r="H10" s="17"/>
      <c r="I10" s="17">
        <v>15.75</v>
      </c>
      <c r="J10" s="17">
        <v>3.21</v>
      </c>
      <c r="K10" s="17">
        <v>7.52</v>
      </c>
      <c r="L10" s="17">
        <v>0.4</v>
      </c>
      <c r="M10" s="20">
        <v>21.81</v>
      </c>
      <c r="N10" s="20">
        <v>3.67</v>
      </c>
    </row>
    <row r="11" spans="1:14">
      <c r="A11" s="17"/>
      <c r="B11" s="17"/>
      <c r="C11" s="17">
        <v>8.2899999999999991</v>
      </c>
      <c r="D11" s="17">
        <v>28.2</v>
      </c>
      <c r="E11" s="20">
        <v>20.010000000000002</v>
      </c>
      <c r="F11" s="20">
        <v>26.65</v>
      </c>
      <c r="G11" s="17"/>
      <c r="H11" s="17"/>
      <c r="I11" s="17">
        <v>21.82</v>
      </c>
      <c r="J11" s="17">
        <v>6.94</v>
      </c>
      <c r="K11" s="17">
        <v>8.5</v>
      </c>
      <c r="L11" s="17">
        <v>4.72</v>
      </c>
      <c r="M11" s="20">
        <v>26.04</v>
      </c>
      <c r="N11" s="20">
        <v>13.74</v>
      </c>
    </row>
    <row r="12" spans="1:14">
      <c r="A12" s="17"/>
      <c r="B12" s="17"/>
      <c r="C12" s="17">
        <v>13.39</v>
      </c>
      <c r="D12" s="17">
        <v>33.909999999999997</v>
      </c>
      <c r="E12" s="20">
        <v>19.059999999999999</v>
      </c>
      <c r="F12" s="20">
        <v>13.18</v>
      </c>
      <c r="G12" s="17"/>
      <c r="H12" s="17"/>
      <c r="I12" s="17">
        <v>27.11</v>
      </c>
      <c r="J12" s="17">
        <v>10.65</v>
      </c>
      <c r="K12" s="17">
        <v>5.89</v>
      </c>
      <c r="L12" s="17">
        <v>0.24</v>
      </c>
      <c r="M12" s="20">
        <v>37.81</v>
      </c>
      <c r="N12" s="20">
        <v>15.12</v>
      </c>
    </row>
    <row r="13" spans="1:14">
      <c r="A13" s="17"/>
      <c r="B13" s="17"/>
      <c r="C13" s="17">
        <v>7.16</v>
      </c>
      <c r="D13" s="17">
        <v>7.93</v>
      </c>
      <c r="E13" s="20">
        <v>39.130000000000003</v>
      </c>
      <c r="F13" s="20">
        <v>25.94</v>
      </c>
      <c r="G13" s="17"/>
      <c r="H13" s="17"/>
      <c r="I13" s="17">
        <v>25.91</v>
      </c>
      <c r="J13" s="17">
        <v>3.53</v>
      </c>
      <c r="K13" s="17">
        <v>24.3</v>
      </c>
      <c r="L13" s="17">
        <v>22.03</v>
      </c>
      <c r="M13" s="20">
        <v>23.78</v>
      </c>
      <c r="N13" s="20">
        <v>10.53</v>
      </c>
    </row>
    <row r="14" spans="1:14">
      <c r="A14" s="17"/>
      <c r="B14" s="17"/>
      <c r="C14" s="17">
        <v>19.75</v>
      </c>
      <c r="D14" s="17">
        <v>14.08</v>
      </c>
      <c r="E14" s="20">
        <v>30.84</v>
      </c>
      <c r="F14" s="20">
        <v>21.26</v>
      </c>
      <c r="G14" s="17"/>
      <c r="H14" s="17"/>
      <c r="I14" s="17">
        <v>17.27</v>
      </c>
      <c r="J14" s="17">
        <v>11.48</v>
      </c>
      <c r="K14" s="17">
        <v>10.98</v>
      </c>
      <c r="L14" s="17">
        <v>12.16</v>
      </c>
      <c r="M14" s="20">
        <v>3.69</v>
      </c>
      <c r="N14" s="20">
        <v>3.05</v>
      </c>
    </row>
    <row r="15" spans="1:14">
      <c r="A15" s="17"/>
      <c r="B15" s="17"/>
      <c r="C15" s="17">
        <v>26.85</v>
      </c>
      <c r="D15" s="17">
        <v>16.36</v>
      </c>
      <c r="E15" s="20">
        <v>32.6</v>
      </c>
      <c r="F15" s="20">
        <v>17.78</v>
      </c>
      <c r="G15" s="17"/>
      <c r="H15" s="17"/>
      <c r="I15" s="17">
        <v>22.54</v>
      </c>
      <c r="J15" s="17">
        <v>6.68</v>
      </c>
      <c r="K15" s="17">
        <v>0.69</v>
      </c>
      <c r="L15" s="17">
        <v>8.08</v>
      </c>
      <c r="M15" s="20">
        <v>18.170000000000002</v>
      </c>
      <c r="N15" s="20">
        <v>6.46</v>
      </c>
    </row>
    <row r="16" spans="1:14">
      <c r="A16" s="17"/>
      <c r="B16" s="17"/>
      <c r="C16" s="17">
        <v>31.46</v>
      </c>
      <c r="D16" s="17">
        <v>14.27</v>
      </c>
      <c r="E16" s="20">
        <v>22.52</v>
      </c>
      <c r="F16" s="20">
        <v>12.29</v>
      </c>
      <c r="G16" s="17"/>
      <c r="H16" s="17"/>
      <c r="I16" s="17">
        <v>21.62</v>
      </c>
      <c r="J16" s="17">
        <v>7.27</v>
      </c>
      <c r="K16" s="17">
        <v>17.61</v>
      </c>
      <c r="L16" s="17">
        <v>15.18</v>
      </c>
      <c r="M16" s="20">
        <v>14.66</v>
      </c>
      <c r="N16" s="20">
        <v>16.36</v>
      </c>
    </row>
    <row r="17" spans="1:14">
      <c r="A17" s="17"/>
      <c r="B17" s="17"/>
      <c r="C17" s="17">
        <v>17.440000000000001</v>
      </c>
      <c r="D17" s="17">
        <v>11.23</v>
      </c>
      <c r="E17" s="20">
        <v>12.39</v>
      </c>
      <c r="F17" s="20">
        <v>31.89</v>
      </c>
      <c r="G17" s="17"/>
      <c r="H17" s="17"/>
      <c r="I17" s="17">
        <v>21.16</v>
      </c>
      <c r="J17" s="17">
        <v>14.56</v>
      </c>
      <c r="K17" s="17">
        <v>12.25</v>
      </c>
      <c r="L17" s="17">
        <v>14.96</v>
      </c>
      <c r="M17" s="20">
        <v>18.64</v>
      </c>
      <c r="N17" s="20">
        <v>15.76</v>
      </c>
    </row>
    <row r="18" spans="1:14">
      <c r="A18" s="17"/>
      <c r="B18" s="17"/>
      <c r="C18" s="17">
        <v>22.41</v>
      </c>
      <c r="D18" s="17">
        <v>12.33</v>
      </c>
      <c r="E18" s="20">
        <v>12.61</v>
      </c>
      <c r="F18" s="20">
        <v>16.86</v>
      </c>
      <c r="G18" s="17"/>
      <c r="H18" s="17"/>
      <c r="I18" s="17">
        <v>26.12</v>
      </c>
      <c r="J18" s="17">
        <v>4.96</v>
      </c>
      <c r="K18" s="17">
        <v>0.46</v>
      </c>
      <c r="L18" s="17">
        <v>5.99</v>
      </c>
      <c r="M18" s="20">
        <v>15.41</v>
      </c>
      <c r="N18" s="20">
        <v>14.43</v>
      </c>
    </row>
    <row r="19" spans="1:14">
      <c r="A19" s="17"/>
      <c r="B19" s="17"/>
      <c r="C19" s="17">
        <v>22.65</v>
      </c>
      <c r="D19" s="17">
        <v>9.2799999999999994</v>
      </c>
      <c r="E19" s="20">
        <v>23.79</v>
      </c>
      <c r="F19" s="20">
        <v>30.5</v>
      </c>
      <c r="G19" s="17"/>
      <c r="H19" s="17"/>
      <c r="I19" s="17">
        <v>17.57</v>
      </c>
      <c r="J19" s="17">
        <v>2.81</v>
      </c>
      <c r="K19" s="17">
        <v>21.71</v>
      </c>
      <c r="L19" s="17">
        <v>20.65</v>
      </c>
      <c r="M19" s="20">
        <v>6.15</v>
      </c>
      <c r="N19" s="20">
        <v>10.75</v>
      </c>
    </row>
    <row r="20" spans="1:14">
      <c r="A20" s="17"/>
      <c r="B20" s="17"/>
      <c r="C20" s="17">
        <v>22.59</v>
      </c>
      <c r="D20" s="17">
        <v>19.29</v>
      </c>
      <c r="E20" s="20">
        <v>29.32</v>
      </c>
      <c r="F20" s="20">
        <v>39.090000000000003</v>
      </c>
      <c r="G20" s="17"/>
      <c r="H20" s="17"/>
      <c r="I20" s="17">
        <v>18.8</v>
      </c>
      <c r="J20" s="17">
        <v>8.2200000000000006</v>
      </c>
      <c r="K20" s="17">
        <v>0.56999999999999995</v>
      </c>
      <c r="L20" s="17">
        <v>5.99</v>
      </c>
      <c r="M20" s="20">
        <v>7.34</v>
      </c>
      <c r="N20" s="20">
        <v>23.02</v>
      </c>
    </row>
    <row r="21" spans="1:14">
      <c r="A21" s="17"/>
      <c r="B21" s="17"/>
      <c r="C21" s="17">
        <v>18.8</v>
      </c>
      <c r="D21" s="17">
        <v>11.96</v>
      </c>
      <c r="E21" s="20">
        <v>23.64</v>
      </c>
      <c r="F21" s="20">
        <v>24.92</v>
      </c>
      <c r="G21" s="17"/>
      <c r="H21" s="17"/>
      <c r="I21" s="17">
        <v>34.4</v>
      </c>
      <c r="J21" s="17">
        <v>20.62</v>
      </c>
      <c r="K21" s="17">
        <v>15.98</v>
      </c>
      <c r="L21" s="17">
        <v>12.44</v>
      </c>
      <c r="M21" s="20">
        <v>9.25</v>
      </c>
      <c r="N21" s="20">
        <v>21.98</v>
      </c>
    </row>
    <row r="22" spans="1:14">
      <c r="A22" s="17"/>
      <c r="B22" s="17"/>
      <c r="C22" s="17">
        <v>29.76</v>
      </c>
      <c r="D22" s="17">
        <v>22.16</v>
      </c>
      <c r="E22" s="20">
        <v>20.329999999999998</v>
      </c>
      <c r="F22" s="20">
        <v>21.46</v>
      </c>
      <c r="G22" s="17"/>
      <c r="H22" s="17"/>
      <c r="I22" s="17">
        <v>27.28</v>
      </c>
      <c r="J22" s="17">
        <v>21.84</v>
      </c>
      <c r="K22" s="17">
        <v>5.13</v>
      </c>
      <c r="L22" s="17">
        <v>0.38</v>
      </c>
      <c r="M22" s="20">
        <v>8</v>
      </c>
      <c r="N22" s="20">
        <v>21.05</v>
      </c>
    </row>
    <row r="23" spans="1:14">
      <c r="A23" s="17"/>
      <c r="B23" s="17"/>
      <c r="C23" s="17"/>
      <c r="D23" s="17"/>
      <c r="E23" s="20">
        <v>13.52</v>
      </c>
      <c r="F23" s="20">
        <v>7.02</v>
      </c>
      <c r="G23" s="17"/>
      <c r="H23" s="17"/>
      <c r="I23" s="17">
        <v>14.56</v>
      </c>
      <c r="J23" s="17">
        <v>27.58</v>
      </c>
      <c r="K23" s="17"/>
      <c r="L23" s="17"/>
      <c r="M23" s="20">
        <v>3.07</v>
      </c>
      <c r="N23" s="20">
        <v>15.08</v>
      </c>
    </row>
    <row r="24" spans="1:14">
      <c r="A24" s="17"/>
      <c r="B24" s="17"/>
      <c r="C24" s="17"/>
      <c r="D24" s="17"/>
      <c r="E24" s="20">
        <v>36.79</v>
      </c>
      <c r="F24" s="20">
        <v>18.32</v>
      </c>
      <c r="G24" s="17"/>
      <c r="H24" s="17"/>
      <c r="I24" s="17">
        <v>28.53</v>
      </c>
      <c r="J24" s="17">
        <v>16.3</v>
      </c>
      <c r="K24" s="17"/>
      <c r="L24" s="17"/>
      <c r="M24" s="20">
        <v>27.58</v>
      </c>
      <c r="N24" s="20">
        <v>20.9</v>
      </c>
    </row>
    <row r="25" spans="1:14">
      <c r="A25" s="17"/>
      <c r="B25" s="17"/>
      <c r="C25" s="17"/>
      <c r="D25" s="17"/>
      <c r="E25" s="20">
        <v>35.6</v>
      </c>
      <c r="F25" s="20">
        <v>18.43</v>
      </c>
      <c r="G25" s="17"/>
      <c r="H25" s="17"/>
      <c r="I25" s="17">
        <v>13.94</v>
      </c>
      <c r="J25" s="17">
        <v>19.07</v>
      </c>
      <c r="K25" s="17"/>
      <c r="L25" s="17"/>
      <c r="M25" s="20">
        <v>22.55</v>
      </c>
      <c r="N25" s="20">
        <v>18.920000000000002</v>
      </c>
    </row>
    <row r="26" spans="1:14">
      <c r="A26" s="17"/>
      <c r="B26" s="17"/>
      <c r="C26" s="17"/>
      <c r="D26" s="17"/>
      <c r="E26" s="20">
        <v>45.58</v>
      </c>
      <c r="F26" s="20">
        <v>18.670000000000002</v>
      </c>
      <c r="G26" s="17"/>
      <c r="H26" s="17"/>
      <c r="I26" s="17">
        <v>40.15</v>
      </c>
      <c r="J26" s="17">
        <v>24.25</v>
      </c>
      <c r="K26" s="17"/>
      <c r="L26" s="17"/>
      <c r="M26" s="20">
        <v>5.6</v>
      </c>
      <c r="N26" s="20">
        <v>8.77</v>
      </c>
    </row>
    <row r="27" spans="1:14">
      <c r="A27" s="17"/>
      <c r="B27" s="17"/>
      <c r="C27" s="17"/>
      <c r="D27" s="17"/>
      <c r="E27" s="20">
        <v>26.9</v>
      </c>
      <c r="F27" s="20">
        <v>11.02</v>
      </c>
      <c r="G27" s="17"/>
      <c r="H27" s="17"/>
      <c r="I27" s="17">
        <v>26.88</v>
      </c>
      <c r="J27" s="17">
        <v>15.89</v>
      </c>
      <c r="K27" s="17"/>
      <c r="L27" s="17"/>
      <c r="M27" s="20">
        <v>25.71</v>
      </c>
      <c r="N27" s="20">
        <v>28.47</v>
      </c>
    </row>
    <row r="28" spans="1:14">
      <c r="A28" s="17"/>
      <c r="B28" s="17"/>
      <c r="C28" s="17"/>
      <c r="D28" s="17"/>
      <c r="E28" s="20">
        <v>17.510000000000002</v>
      </c>
      <c r="F28" s="20">
        <v>16.79</v>
      </c>
      <c r="G28" s="17"/>
      <c r="H28" s="17"/>
      <c r="I28" s="17">
        <v>22.67</v>
      </c>
      <c r="J28" s="17">
        <v>8.5</v>
      </c>
      <c r="K28" s="17"/>
      <c r="L28" s="17"/>
      <c r="M28" s="20">
        <v>9.8699999999999992</v>
      </c>
      <c r="N28" s="20">
        <v>20.399999999999999</v>
      </c>
    </row>
    <row r="29" spans="1:14">
      <c r="A29" s="17"/>
      <c r="B29" s="17"/>
      <c r="C29" s="17"/>
      <c r="D29" s="17"/>
      <c r="E29" s="20">
        <v>14.77</v>
      </c>
      <c r="F29" s="20">
        <v>14.73</v>
      </c>
      <c r="G29" s="17"/>
      <c r="H29" s="17"/>
      <c r="I29" s="17">
        <v>31.83</v>
      </c>
      <c r="J29" s="17">
        <v>18.64</v>
      </c>
      <c r="K29" s="17"/>
      <c r="L29" s="17"/>
      <c r="M29" s="20">
        <v>9.09</v>
      </c>
      <c r="N29" s="20">
        <v>16.96</v>
      </c>
    </row>
    <row r="30" spans="1:14">
      <c r="A30" s="17"/>
      <c r="B30" s="17"/>
      <c r="C30" s="17"/>
      <c r="D30" s="17"/>
      <c r="E30" s="20">
        <v>20.27</v>
      </c>
      <c r="F30" s="20">
        <v>15.99</v>
      </c>
      <c r="G30" s="17"/>
      <c r="H30" s="17"/>
      <c r="I30" s="17">
        <v>27.72</v>
      </c>
      <c r="J30" s="17">
        <v>20.05</v>
      </c>
      <c r="K30" s="17"/>
      <c r="L30" s="17"/>
      <c r="M30" s="17"/>
      <c r="N30" s="17"/>
    </row>
    <row r="31" spans="1:14">
      <c r="A31" s="17"/>
      <c r="B31" s="17"/>
      <c r="C31" s="17"/>
      <c r="D31" s="17"/>
      <c r="E31" s="20">
        <v>18.36</v>
      </c>
      <c r="F31" s="20">
        <v>14.49</v>
      </c>
      <c r="G31" s="17"/>
      <c r="H31" s="17"/>
      <c r="I31" s="17">
        <v>26.16</v>
      </c>
      <c r="J31" s="17">
        <v>6.55</v>
      </c>
      <c r="K31" s="17"/>
      <c r="L31" s="17"/>
      <c r="M31" s="17"/>
      <c r="N31" s="17"/>
    </row>
    <row r="32" spans="1:14">
      <c r="A32" s="17"/>
      <c r="B32" s="17"/>
      <c r="C32" s="17"/>
      <c r="D32" s="17"/>
      <c r="E32" s="20">
        <v>38.44</v>
      </c>
      <c r="F32" s="20">
        <v>39.96</v>
      </c>
      <c r="G32" s="17"/>
      <c r="H32" s="17"/>
      <c r="I32" s="17">
        <v>10.17</v>
      </c>
      <c r="J32" s="17">
        <v>12.45</v>
      </c>
      <c r="K32" s="17"/>
      <c r="L32" s="17"/>
      <c r="M32" s="17"/>
      <c r="N32" s="17"/>
    </row>
    <row r="33" spans="1:14">
      <c r="A33" s="17"/>
      <c r="B33" s="17"/>
      <c r="C33" s="17"/>
      <c r="D33" s="17"/>
      <c r="E33" s="20">
        <v>33.81</v>
      </c>
      <c r="F33" s="20">
        <v>27.81</v>
      </c>
      <c r="G33" s="17"/>
      <c r="H33" s="17"/>
      <c r="I33" s="17">
        <v>23.24</v>
      </c>
      <c r="J33" s="17">
        <v>12.68</v>
      </c>
      <c r="K33" s="17"/>
      <c r="L33" s="17"/>
      <c r="M33" s="17"/>
      <c r="N33" s="17"/>
    </row>
    <row r="34" spans="1:14">
      <c r="A34" s="17"/>
      <c r="B34" s="17"/>
      <c r="C34" s="17"/>
      <c r="D34" s="17"/>
      <c r="E34" s="20">
        <v>22.39</v>
      </c>
      <c r="F34" s="20">
        <v>18.43</v>
      </c>
      <c r="G34" s="17"/>
      <c r="H34" s="17"/>
      <c r="I34" s="17">
        <v>30.03</v>
      </c>
      <c r="J34" s="17">
        <v>18.579999999999998</v>
      </c>
      <c r="K34" s="17"/>
      <c r="L34" s="17"/>
      <c r="M34" s="17"/>
      <c r="N34" s="17"/>
    </row>
    <row r="35" spans="1:14">
      <c r="A35" s="17"/>
      <c r="B35" s="17"/>
      <c r="C35" s="17"/>
      <c r="D35" s="17"/>
      <c r="E35" s="20">
        <v>36.89</v>
      </c>
      <c r="F35" s="20">
        <v>29.18</v>
      </c>
      <c r="G35" s="17"/>
      <c r="H35" s="17"/>
      <c r="I35" s="17">
        <v>12.76</v>
      </c>
      <c r="J35" s="17">
        <v>16.149999999999999</v>
      </c>
      <c r="K35" s="17"/>
      <c r="L35" s="17"/>
      <c r="M35" s="17"/>
      <c r="N35" s="17"/>
    </row>
    <row r="36" spans="1:14">
      <c r="A36" s="17"/>
      <c r="B36" s="17"/>
      <c r="C36" s="17"/>
      <c r="D36" s="17"/>
      <c r="E36" s="20">
        <v>22.29</v>
      </c>
      <c r="F36" s="20">
        <v>17.64</v>
      </c>
      <c r="G36" s="17"/>
      <c r="H36" s="17"/>
      <c r="I36" s="17">
        <v>25.8</v>
      </c>
      <c r="J36" s="17">
        <v>9.01</v>
      </c>
      <c r="K36" s="17"/>
      <c r="L36" s="17"/>
      <c r="M36" s="17"/>
      <c r="N36" s="17"/>
    </row>
    <row r="37" spans="1:14">
      <c r="A37" s="17"/>
      <c r="B37" s="17"/>
      <c r="C37" s="17"/>
      <c r="D37" s="17"/>
      <c r="E37" s="20">
        <v>23.29</v>
      </c>
      <c r="F37" s="20">
        <v>23.31</v>
      </c>
      <c r="G37" s="17"/>
      <c r="H37" s="17"/>
      <c r="I37" s="17">
        <v>23.16</v>
      </c>
      <c r="J37" s="17">
        <v>6.82</v>
      </c>
      <c r="K37" s="17"/>
      <c r="L37" s="17"/>
      <c r="M37" s="17"/>
      <c r="N37" s="17"/>
    </row>
    <row r="38" spans="1:14">
      <c r="A38" s="17"/>
      <c r="B38" s="17"/>
      <c r="C38" s="17"/>
      <c r="D38" s="17"/>
      <c r="E38" s="17"/>
      <c r="F38" s="17"/>
      <c r="G38" s="17"/>
      <c r="H38" s="17"/>
      <c r="I38" s="17">
        <v>21.7</v>
      </c>
      <c r="J38" s="17">
        <v>17.45</v>
      </c>
      <c r="K38" s="17"/>
      <c r="L38" s="17"/>
      <c r="M38" s="17"/>
      <c r="N38" s="17"/>
    </row>
    <row r="39" spans="1:14">
      <c r="A39" s="17"/>
      <c r="B39" s="17"/>
      <c r="C39" s="17"/>
      <c r="D39" s="17"/>
      <c r="E39" s="17"/>
      <c r="F39" s="17"/>
      <c r="G39" s="17"/>
      <c r="H39" s="17"/>
      <c r="I39" s="17">
        <v>25.29</v>
      </c>
      <c r="J39" s="17">
        <v>33.78</v>
      </c>
      <c r="K39" s="17"/>
      <c r="L39" s="17"/>
      <c r="M39" s="17"/>
      <c r="N39" s="17"/>
    </row>
    <row r="40" spans="1:14">
      <c r="A40" s="17"/>
      <c r="B40" s="17"/>
      <c r="C40" s="17"/>
      <c r="D40" s="17"/>
      <c r="E40" s="17"/>
      <c r="F40" s="17"/>
      <c r="G40" s="17"/>
      <c r="H40" s="17"/>
      <c r="I40" s="17">
        <v>11.46</v>
      </c>
      <c r="J40" s="17">
        <v>36.21</v>
      </c>
      <c r="K40" s="17"/>
      <c r="L40" s="17"/>
      <c r="M40" s="17"/>
      <c r="N40" s="17"/>
    </row>
    <row r="41" spans="1:14">
      <c r="A41" s="17"/>
      <c r="B41" s="17"/>
      <c r="C41" s="17"/>
      <c r="D41" s="17"/>
      <c r="E41" s="17"/>
      <c r="F41" s="17"/>
      <c r="G41" s="17"/>
      <c r="H41" s="17"/>
      <c r="I41" s="17">
        <v>32.159999999999997</v>
      </c>
      <c r="J41" s="17">
        <v>30.65</v>
      </c>
      <c r="K41" s="17"/>
      <c r="L41" s="17"/>
      <c r="M41" s="17"/>
      <c r="N41" s="17"/>
    </row>
    <row r="42" spans="1:14">
      <c r="A42" s="17"/>
      <c r="B42" s="17"/>
      <c r="C42" s="17"/>
      <c r="D42" s="17"/>
      <c r="E42" s="17"/>
      <c r="F42" s="17"/>
      <c r="G42" s="17"/>
      <c r="H42" s="17"/>
      <c r="I42" s="17">
        <v>16.2</v>
      </c>
      <c r="J42" s="17">
        <v>36.97</v>
      </c>
      <c r="K42" s="17"/>
      <c r="L42" s="17"/>
      <c r="M42" s="17"/>
      <c r="N42" s="17"/>
    </row>
    <row r="43" spans="1:14">
      <c r="A43" s="17"/>
      <c r="B43" s="17"/>
      <c r="C43" s="17"/>
      <c r="D43" s="17"/>
      <c r="E43" s="17"/>
      <c r="F43" s="17"/>
      <c r="G43" s="17"/>
      <c r="H43" s="17"/>
      <c r="I43" s="17">
        <v>26.26</v>
      </c>
      <c r="J43" s="17">
        <v>26.46</v>
      </c>
      <c r="K43" s="17"/>
      <c r="L43" s="17"/>
      <c r="M43" s="17"/>
      <c r="N43" s="17"/>
    </row>
    <row r="44" spans="1:14">
      <c r="A44" s="17"/>
      <c r="B44" s="17"/>
      <c r="C44" s="17"/>
      <c r="D44" s="17"/>
      <c r="E44" s="17"/>
      <c r="F44" s="17"/>
      <c r="G44" s="17"/>
      <c r="H44" s="17"/>
      <c r="I44" s="17">
        <v>16.78</v>
      </c>
      <c r="J44" s="17">
        <v>16.55</v>
      </c>
      <c r="K44" s="17"/>
      <c r="L44" s="17"/>
      <c r="M44" s="17"/>
      <c r="N44" s="17"/>
    </row>
    <row r="45" spans="1:14">
      <c r="A45" s="17"/>
      <c r="B45" s="17"/>
      <c r="C45" s="17"/>
      <c r="D45" s="17"/>
      <c r="E45" s="17"/>
      <c r="F45" s="17"/>
      <c r="G45" s="17"/>
      <c r="H45" s="17"/>
      <c r="I45" s="17">
        <v>19.39</v>
      </c>
      <c r="J45" s="17">
        <v>12.13</v>
      </c>
      <c r="K45" s="17"/>
      <c r="L45" s="17"/>
      <c r="M45" s="17"/>
      <c r="N45" s="17"/>
    </row>
    <row r="46" spans="1:14">
      <c r="A46" s="17"/>
      <c r="B46" s="17"/>
      <c r="C46" s="17"/>
      <c r="D46" s="17"/>
      <c r="E46" s="17"/>
      <c r="F46" s="17"/>
      <c r="G46" s="17"/>
      <c r="H46" s="17"/>
      <c r="I46" s="17">
        <v>18.190000000000001</v>
      </c>
      <c r="J46" s="17">
        <v>17.77</v>
      </c>
      <c r="K46" s="17"/>
      <c r="L46" s="17"/>
      <c r="M46" s="17"/>
      <c r="N46" s="17"/>
    </row>
    <row r="47" spans="1:14">
      <c r="A47" s="17"/>
      <c r="B47" s="17"/>
      <c r="C47" s="17"/>
      <c r="D47" s="17"/>
      <c r="E47" s="17"/>
      <c r="F47" s="17"/>
      <c r="G47" s="17"/>
      <c r="H47" s="17"/>
      <c r="I47" s="17">
        <v>32.9</v>
      </c>
      <c r="J47" s="17">
        <v>39.69</v>
      </c>
      <c r="K47" s="17"/>
      <c r="L47" s="17"/>
      <c r="M47" s="17"/>
      <c r="N47" s="17"/>
    </row>
    <row r="48" spans="1:14">
      <c r="A48" s="17"/>
      <c r="B48" s="17"/>
      <c r="C48" s="17"/>
      <c r="D48" s="17"/>
      <c r="E48" s="17"/>
      <c r="F48" s="17"/>
      <c r="G48" s="17"/>
      <c r="H48" s="17"/>
      <c r="I48" s="17">
        <v>19.5</v>
      </c>
      <c r="J48" s="17">
        <v>8.15</v>
      </c>
      <c r="K48" s="17"/>
      <c r="L48" s="17"/>
      <c r="M48" s="17"/>
      <c r="N48" s="17"/>
    </row>
    <row r="49" spans="9:14">
      <c r="I49" s="17">
        <v>11.59</v>
      </c>
      <c r="J49" s="17">
        <v>23.68</v>
      </c>
      <c r="K49" s="17"/>
      <c r="L49" s="17"/>
      <c r="M49" s="17"/>
      <c r="N49" s="17"/>
    </row>
    <row r="50" spans="9:14">
      <c r="I50" s="17">
        <v>26.71</v>
      </c>
      <c r="J50" s="17">
        <v>24.31</v>
      </c>
      <c r="K50" s="17"/>
      <c r="L50" s="17"/>
      <c r="M50" s="17"/>
      <c r="N50" s="17"/>
    </row>
    <row r="51" spans="9:14">
      <c r="I51" s="17">
        <v>16.64</v>
      </c>
      <c r="J51" s="17">
        <v>17.18</v>
      </c>
      <c r="K51" s="17"/>
      <c r="L51" s="17"/>
      <c r="M51" s="17"/>
      <c r="N51" s="17"/>
    </row>
    <row r="52" spans="9:14">
      <c r="I52" s="17">
        <v>12.05</v>
      </c>
      <c r="J52" s="17">
        <v>25.45</v>
      </c>
      <c r="K52" s="17"/>
      <c r="L52" s="17"/>
      <c r="M52" s="17"/>
      <c r="N52" s="17"/>
    </row>
    <row r="53" spans="9:14">
      <c r="I53" s="17">
        <v>13.89</v>
      </c>
      <c r="J53" s="17">
        <v>8.09</v>
      </c>
      <c r="K53" s="17"/>
      <c r="L53" s="17"/>
      <c r="M53" s="17"/>
      <c r="N53" s="17"/>
    </row>
    <row r="54" spans="9:14">
      <c r="I54" s="17">
        <v>15.39</v>
      </c>
      <c r="J54" s="17">
        <v>7.56</v>
      </c>
      <c r="K54" s="17"/>
      <c r="L54" s="17"/>
      <c r="M54" s="17"/>
      <c r="N54" s="17"/>
    </row>
    <row r="55" spans="9:14">
      <c r="I55" s="17">
        <v>16.8</v>
      </c>
      <c r="J55" s="17">
        <v>22.54</v>
      </c>
      <c r="K55" s="17"/>
      <c r="L55" s="17"/>
      <c r="M55" s="17"/>
      <c r="N55" s="17"/>
    </row>
    <row r="56" spans="9:14">
      <c r="I56" s="17">
        <v>11.43</v>
      </c>
      <c r="J56" s="17">
        <v>27.05</v>
      </c>
      <c r="K56" s="17"/>
      <c r="L56" s="17"/>
      <c r="M56" s="17"/>
      <c r="N56" s="17"/>
    </row>
    <row r="57" spans="9:14">
      <c r="I57" s="17">
        <v>28.67</v>
      </c>
      <c r="J57" s="17">
        <v>20.46</v>
      </c>
      <c r="K57" s="17"/>
      <c r="L57" s="17"/>
      <c r="M57" s="17"/>
      <c r="N57" s="17"/>
    </row>
    <row r="58" spans="9:14">
      <c r="I58" s="17">
        <v>12.16</v>
      </c>
      <c r="J58" s="17">
        <v>20.78</v>
      </c>
      <c r="K58" s="17"/>
      <c r="L58" s="17"/>
      <c r="M58" s="17"/>
      <c r="N58" s="17"/>
    </row>
    <row r="59" spans="9:14">
      <c r="I59" s="17">
        <v>20.45</v>
      </c>
      <c r="J59" s="17">
        <v>15.43</v>
      </c>
      <c r="K59" s="17"/>
      <c r="L59" s="17"/>
      <c r="M59" s="17"/>
      <c r="N59" s="17"/>
    </row>
    <row r="60" spans="9:14">
      <c r="I60" s="17">
        <v>13.85</v>
      </c>
      <c r="J60" s="17">
        <v>10.23</v>
      </c>
      <c r="K60" s="17"/>
      <c r="L60" s="17"/>
      <c r="M60" s="17"/>
      <c r="N60" s="17"/>
    </row>
    <row r="61" spans="9:14">
      <c r="I61" s="17">
        <v>15.05</v>
      </c>
      <c r="J61" s="17">
        <v>7.05</v>
      </c>
      <c r="K61" s="17"/>
      <c r="L61" s="17"/>
      <c r="M61" s="17"/>
      <c r="N61" s="17"/>
    </row>
    <row r="62" spans="9:14">
      <c r="I62" s="17">
        <v>16.309999999999999</v>
      </c>
      <c r="J62" s="17">
        <v>11.92</v>
      </c>
      <c r="K62" s="17"/>
      <c r="L62" s="17"/>
      <c r="M62" s="17"/>
      <c r="N62" s="17"/>
    </row>
    <row r="63" spans="9:14">
      <c r="I63" s="17">
        <v>22.66</v>
      </c>
      <c r="J63" s="17">
        <v>20.47</v>
      </c>
      <c r="K63" s="17"/>
      <c r="L63" s="17"/>
      <c r="M63" s="17"/>
      <c r="N63" s="17"/>
    </row>
    <row r="64" spans="9:14">
      <c r="I64" s="17">
        <v>21.03</v>
      </c>
      <c r="J64" s="17">
        <v>6.58</v>
      </c>
      <c r="K64" s="17"/>
      <c r="L64" s="17"/>
      <c r="M64" s="17"/>
      <c r="N64" s="17"/>
    </row>
    <row r="65" spans="9:14">
      <c r="I65" s="17">
        <v>12.91</v>
      </c>
      <c r="J65" s="17">
        <v>19.75</v>
      </c>
      <c r="K65" s="17"/>
      <c r="L65" s="17"/>
      <c r="M65" s="17"/>
      <c r="N65" s="17"/>
    </row>
    <row r="66" spans="9:14">
      <c r="I66" s="17">
        <v>22.27</v>
      </c>
      <c r="J66" s="17">
        <v>15.18</v>
      </c>
      <c r="K66" s="17"/>
      <c r="L66" s="17"/>
      <c r="M66" s="17"/>
      <c r="N66" s="17"/>
    </row>
    <row r="67" spans="9:14">
      <c r="I67" s="17">
        <v>14.88</v>
      </c>
      <c r="J67" s="17">
        <v>11.5</v>
      </c>
      <c r="K67" s="17"/>
      <c r="L67" s="17"/>
      <c r="M67" s="17"/>
      <c r="N67" s="17"/>
    </row>
    <row r="68" spans="9:14">
      <c r="I68" s="17">
        <v>12.47</v>
      </c>
      <c r="J68" s="17">
        <v>19.73</v>
      </c>
      <c r="K68" s="17"/>
      <c r="L68" s="17"/>
      <c r="M68" s="17"/>
      <c r="N68" s="17"/>
    </row>
    <row r="69" spans="9:14">
      <c r="I69" s="17">
        <v>14.36</v>
      </c>
      <c r="J69" s="17">
        <v>6.27</v>
      </c>
      <c r="K69" s="17"/>
      <c r="L69" s="17"/>
      <c r="M69" s="17"/>
      <c r="N69" s="17"/>
    </row>
    <row r="70" spans="9:14">
      <c r="I70" s="17">
        <v>14.61</v>
      </c>
      <c r="J70" s="17">
        <v>5.37</v>
      </c>
      <c r="K70" s="17"/>
      <c r="L70" s="17"/>
      <c r="M70" s="17"/>
      <c r="N70" s="17"/>
    </row>
    <row r="71" spans="9:14">
      <c r="I71" s="17">
        <v>14.35</v>
      </c>
      <c r="J71" s="17">
        <v>14.41</v>
      </c>
      <c r="K71" s="17"/>
      <c r="L71" s="17"/>
      <c r="M71" s="17"/>
      <c r="N71" s="17"/>
    </row>
    <row r="72" spans="9:14">
      <c r="I72" s="17">
        <v>34.39</v>
      </c>
      <c r="J72" s="17">
        <v>10.37</v>
      </c>
      <c r="K72" s="17"/>
      <c r="L72" s="17"/>
      <c r="M72" s="17"/>
      <c r="N72" s="17"/>
    </row>
    <row r="73" spans="9:14">
      <c r="I73" s="17">
        <v>14.69</v>
      </c>
      <c r="J73" s="17">
        <v>10.61</v>
      </c>
      <c r="K73" s="17"/>
      <c r="L73" s="17"/>
      <c r="M73" s="17"/>
      <c r="N73" s="17"/>
    </row>
    <row r="74" spans="9:14">
      <c r="I74" s="17">
        <v>30.1</v>
      </c>
      <c r="J74" s="17">
        <v>9.6</v>
      </c>
      <c r="K74" s="17"/>
      <c r="L74" s="17"/>
      <c r="M74" s="17"/>
      <c r="N74" s="17"/>
    </row>
    <row r="75" spans="9:14">
      <c r="I75" s="17">
        <v>25.98</v>
      </c>
      <c r="J75" s="17">
        <v>8.11</v>
      </c>
      <c r="K75" s="17"/>
      <c r="L75" s="17"/>
      <c r="M75" s="17"/>
      <c r="N75" s="17"/>
    </row>
    <row r="76" spans="9:14">
      <c r="I76" s="17">
        <v>31.54</v>
      </c>
      <c r="J76" s="17">
        <v>6.24</v>
      </c>
      <c r="K76" s="17"/>
      <c r="L76" s="17"/>
      <c r="M76" s="17"/>
      <c r="N76" s="17"/>
    </row>
    <row r="77" spans="9:14">
      <c r="I77" s="17">
        <v>25.07</v>
      </c>
      <c r="J77" s="17">
        <v>7.75</v>
      </c>
      <c r="K77" s="17"/>
      <c r="L77" s="17"/>
      <c r="M77" s="17"/>
      <c r="N77" s="17"/>
    </row>
    <row r="78" spans="9:14">
      <c r="I78" s="17">
        <v>25.62</v>
      </c>
      <c r="J78" s="17">
        <v>9.7799999999999994</v>
      </c>
      <c r="K78" s="17"/>
      <c r="L78" s="17"/>
      <c r="M78" s="17"/>
      <c r="N78" s="17"/>
    </row>
    <row r="79" spans="9:14">
      <c r="I79" s="17">
        <v>17.71</v>
      </c>
      <c r="J79" s="17">
        <v>2.34</v>
      </c>
      <c r="K79" s="17"/>
      <c r="L79" s="17"/>
      <c r="M79" s="17"/>
      <c r="N79" s="17"/>
    </row>
    <row r="80" spans="9:14">
      <c r="I80" s="17">
        <v>8.83</v>
      </c>
      <c r="J80" s="17">
        <v>5.71</v>
      </c>
      <c r="K80" s="17"/>
      <c r="L80" s="17"/>
      <c r="M80" s="17"/>
      <c r="N80" s="17"/>
    </row>
    <row r="81" spans="9:14">
      <c r="I81" s="17">
        <v>23.73</v>
      </c>
      <c r="J81" s="17">
        <v>6.83</v>
      </c>
      <c r="K81" s="17"/>
      <c r="L81" s="17"/>
      <c r="M81" s="17"/>
      <c r="N81" s="17"/>
    </row>
    <row r="82" spans="9:14">
      <c r="I82" s="17">
        <v>24.95</v>
      </c>
      <c r="J82" s="17">
        <v>8.15</v>
      </c>
      <c r="K82" s="17"/>
      <c r="L82" s="17"/>
      <c r="M82" s="17"/>
      <c r="N82" s="17"/>
    </row>
    <row r="83" spans="9:14">
      <c r="I83" s="17">
        <v>11.93</v>
      </c>
      <c r="J83" s="17">
        <v>7.98</v>
      </c>
      <c r="K83" s="17"/>
      <c r="L83" s="17"/>
      <c r="M83" s="17"/>
      <c r="N83" s="17"/>
    </row>
    <row r="84" spans="9:14">
      <c r="I84" s="17">
        <v>19.149999999999999</v>
      </c>
      <c r="J84" s="17">
        <v>3.53</v>
      </c>
      <c r="K84" s="17"/>
      <c r="L84" s="17"/>
      <c r="M84" s="17"/>
      <c r="N84" s="17"/>
    </row>
    <row r="85" spans="9:14">
      <c r="I85" s="17">
        <v>18.350000000000001</v>
      </c>
      <c r="J85" s="17">
        <v>2.85</v>
      </c>
      <c r="K85" s="17"/>
      <c r="L85" s="17"/>
      <c r="M85" s="17"/>
      <c r="N85" s="17"/>
    </row>
    <row r="86" spans="9:14">
      <c r="I86" s="17">
        <v>24.35</v>
      </c>
      <c r="J86" s="17">
        <v>10.34</v>
      </c>
      <c r="K86" s="17"/>
      <c r="L86" s="17"/>
      <c r="M86" s="17"/>
      <c r="N86" s="17"/>
    </row>
    <row r="87" spans="9:14">
      <c r="I87" s="17">
        <v>9.85</v>
      </c>
      <c r="J87" s="17">
        <v>23.58</v>
      </c>
      <c r="K87" s="17"/>
      <c r="L87" s="17"/>
      <c r="M87" s="17"/>
      <c r="N87" s="17"/>
    </row>
    <row r="88" spans="9:14">
      <c r="I88" s="17">
        <v>36.880000000000003</v>
      </c>
      <c r="J88" s="17">
        <v>38.99</v>
      </c>
      <c r="K88" s="17"/>
      <c r="L88" s="17"/>
      <c r="M88" s="17"/>
      <c r="N88" s="17"/>
    </row>
    <row r="89" spans="9:14">
      <c r="I89" s="17">
        <v>26.99</v>
      </c>
      <c r="J89" s="17">
        <v>27.93</v>
      </c>
      <c r="K89" s="17"/>
      <c r="L89" s="17"/>
      <c r="M89" s="17"/>
      <c r="N89" s="17"/>
    </row>
    <row r="90" spans="9:14">
      <c r="I90" s="17">
        <v>35.32</v>
      </c>
      <c r="J90" s="17">
        <v>23.17</v>
      </c>
      <c r="K90" s="17"/>
      <c r="L90" s="17"/>
      <c r="M90" s="17"/>
      <c r="N90" s="17"/>
    </row>
    <row r="91" spans="9:14">
      <c r="I91" s="17">
        <v>29.79</v>
      </c>
      <c r="J91" s="17">
        <v>30.52</v>
      </c>
      <c r="K91" s="17"/>
      <c r="L91" s="17"/>
      <c r="M91" s="17"/>
      <c r="N91" s="17"/>
    </row>
    <row r="92" spans="9:14">
      <c r="I92" s="17">
        <v>22.62</v>
      </c>
      <c r="J92" s="17">
        <v>28.64</v>
      </c>
      <c r="K92" s="17"/>
      <c r="L92" s="17"/>
      <c r="M92" s="17"/>
      <c r="N92" s="17"/>
    </row>
    <row r="93" spans="9:14">
      <c r="I93" s="17">
        <v>19.059999999999999</v>
      </c>
      <c r="J93" s="17">
        <v>8.36</v>
      </c>
      <c r="K93" s="17"/>
      <c r="L93" s="17"/>
      <c r="M93" s="17"/>
      <c r="N93" s="17"/>
    </row>
    <row r="94" spans="9:14">
      <c r="I94" s="17">
        <v>15.6</v>
      </c>
      <c r="J94" s="17">
        <v>33.43</v>
      </c>
      <c r="K94" s="17"/>
      <c r="L94" s="17"/>
      <c r="M94" s="17"/>
      <c r="N94" s="17"/>
    </row>
    <row r="95" spans="9:14">
      <c r="I95" s="17">
        <v>24.51</v>
      </c>
      <c r="J95" s="17">
        <v>23.4</v>
      </c>
      <c r="K95" s="17"/>
      <c r="L95" s="17"/>
      <c r="M95" s="17"/>
      <c r="N95" s="17"/>
    </row>
    <row r="96" spans="9:14">
      <c r="I96" s="17">
        <v>28.16</v>
      </c>
      <c r="J96" s="17">
        <v>30.5</v>
      </c>
      <c r="K96" s="17"/>
      <c r="L96" s="17"/>
      <c r="M96" s="17"/>
      <c r="N96" s="17"/>
    </row>
    <row r="97" spans="9:14">
      <c r="I97" s="17">
        <v>13.58</v>
      </c>
      <c r="J97" s="17">
        <v>30.1</v>
      </c>
      <c r="K97" s="17"/>
      <c r="L97" s="17"/>
      <c r="M97" s="17"/>
      <c r="N97" s="17"/>
    </row>
    <row r="98" spans="9:14">
      <c r="I98" s="17">
        <v>16.260000000000002</v>
      </c>
      <c r="J98" s="17">
        <v>9.94</v>
      </c>
      <c r="K98" s="17"/>
      <c r="L98" s="17"/>
      <c r="M98" s="17"/>
      <c r="N98" s="17"/>
    </row>
    <row r="99" spans="9:14">
      <c r="I99" s="17">
        <v>25.51</v>
      </c>
      <c r="J99" s="17">
        <v>13.15</v>
      </c>
      <c r="K99" s="17"/>
      <c r="L99" s="17"/>
      <c r="M99" s="17"/>
      <c r="N99" s="17"/>
    </row>
    <row r="100" spans="9:14">
      <c r="I100" s="17">
        <v>34.840000000000003</v>
      </c>
      <c r="J100" s="17">
        <v>49.05</v>
      </c>
      <c r="K100" s="17"/>
      <c r="L100" s="17"/>
      <c r="M100" s="17"/>
      <c r="N100" s="17"/>
    </row>
    <row r="101" spans="9:14">
      <c r="I101" s="17">
        <v>20.079999999999998</v>
      </c>
      <c r="J101" s="17">
        <v>8.86</v>
      </c>
      <c r="K101" s="17"/>
      <c r="L101" s="17"/>
      <c r="M101" s="17"/>
      <c r="N101" s="17"/>
    </row>
    <row r="102" spans="9:14">
      <c r="I102" s="17">
        <v>13.96</v>
      </c>
      <c r="J102" s="17">
        <v>6.03</v>
      </c>
      <c r="K102" s="17"/>
      <c r="L102" s="17"/>
      <c r="M102" s="17"/>
      <c r="N102" s="17"/>
    </row>
    <row r="103" spans="9:14">
      <c r="I103" s="17">
        <v>12.08</v>
      </c>
      <c r="J103" s="17">
        <v>3.31</v>
      </c>
      <c r="K103" s="17"/>
      <c r="L103" s="17"/>
      <c r="M103" s="17"/>
      <c r="N103" s="17"/>
    </row>
    <row r="104" spans="9:14">
      <c r="I104" s="17">
        <v>14.8</v>
      </c>
      <c r="J104" s="17">
        <v>6.33</v>
      </c>
      <c r="K104" s="17"/>
      <c r="L104" s="17"/>
      <c r="M104" s="17"/>
      <c r="N104" s="17"/>
    </row>
    <row r="105" spans="9:14">
      <c r="I105" s="17">
        <v>31.28</v>
      </c>
      <c r="J105" s="17">
        <v>16.54</v>
      </c>
      <c r="K105" s="17"/>
      <c r="L105" s="17"/>
      <c r="M105" s="17"/>
      <c r="N105" s="17"/>
    </row>
    <row r="106" spans="9:14">
      <c r="I106" s="17">
        <v>16.77</v>
      </c>
      <c r="J106" s="17">
        <v>3.07</v>
      </c>
      <c r="K106" s="17"/>
      <c r="L106" s="17"/>
      <c r="M106" s="17"/>
      <c r="N106" s="17"/>
    </row>
    <row r="107" spans="9:14">
      <c r="I107" s="17">
        <v>10.53</v>
      </c>
      <c r="J107" s="17">
        <v>9.42</v>
      </c>
      <c r="K107" s="17"/>
      <c r="L107" s="17"/>
      <c r="M107" s="17"/>
      <c r="N107" s="17"/>
    </row>
    <row r="108" spans="9:14">
      <c r="I108" s="17">
        <v>19.350000000000001</v>
      </c>
      <c r="J108" s="17">
        <v>7.71</v>
      </c>
      <c r="K108" s="17"/>
      <c r="L108" s="17"/>
      <c r="M108" s="17"/>
      <c r="N108" s="17"/>
    </row>
    <row r="109" spans="9:14">
      <c r="I109" s="17">
        <v>14.7</v>
      </c>
      <c r="J109" s="17">
        <v>6.65</v>
      </c>
      <c r="K109" s="17"/>
      <c r="L109" s="17"/>
      <c r="M109" s="17"/>
      <c r="N109" s="17"/>
    </row>
    <row r="110" spans="9:14">
      <c r="I110" s="17">
        <v>13.82</v>
      </c>
      <c r="J110" s="17">
        <v>12.79</v>
      </c>
      <c r="K110" s="17"/>
      <c r="L110" s="17"/>
      <c r="M110" s="17"/>
      <c r="N110" s="17"/>
    </row>
    <row r="111" spans="9:14">
      <c r="I111" s="17">
        <v>14.65</v>
      </c>
      <c r="J111" s="17">
        <v>3.74</v>
      </c>
      <c r="K111" s="17"/>
      <c r="L111" s="17"/>
      <c r="M111" s="17"/>
      <c r="N111" s="17"/>
    </row>
    <row r="112" spans="9:14">
      <c r="I112" s="17">
        <v>12.33</v>
      </c>
      <c r="J112" s="17">
        <v>2.65</v>
      </c>
      <c r="K112" s="17"/>
      <c r="L112" s="17"/>
      <c r="M112" s="17"/>
      <c r="N112" s="17"/>
    </row>
    <row r="113" spans="9:14">
      <c r="I113" s="17">
        <v>14.36</v>
      </c>
      <c r="J113" s="17">
        <v>8.44</v>
      </c>
      <c r="K113" s="17"/>
      <c r="L113" s="17"/>
      <c r="M113" s="17"/>
      <c r="N113" s="17"/>
    </row>
    <row r="114" spans="9:14">
      <c r="I114" s="17">
        <v>42.64</v>
      </c>
      <c r="J114" s="17">
        <v>41.74</v>
      </c>
      <c r="K114" s="17"/>
      <c r="L114" s="17"/>
      <c r="M114" s="17"/>
      <c r="N114" s="17"/>
    </row>
    <row r="115" spans="9:14">
      <c r="I115" s="17">
        <v>45.85</v>
      </c>
      <c r="J115" s="17">
        <v>28.46</v>
      </c>
      <c r="K115" s="17"/>
      <c r="L115" s="17"/>
      <c r="M115" s="17"/>
      <c r="N115" s="17"/>
    </row>
    <row r="116" spans="9:14">
      <c r="I116" s="17">
        <v>47.96</v>
      </c>
      <c r="J116" s="17">
        <v>46.49</v>
      </c>
      <c r="K116" s="17"/>
      <c r="L116" s="17"/>
      <c r="M116" s="17"/>
      <c r="N116" s="17"/>
    </row>
    <row r="117" spans="9:14">
      <c r="I117" s="17">
        <v>23.45</v>
      </c>
      <c r="J117" s="17">
        <v>28.09</v>
      </c>
      <c r="K117" s="17"/>
      <c r="L117" s="17"/>
      <c r="M117" s="17"/>
      <c r="N117" s="17"/>
    </row>
    <row r="118" spans="9:14">
      <c r="I118" s="17">
        <v>22.67</v>
      </c>
      <c r="J118" s="17">
        <v>9.4</v>
      </c>
      <c r="K118" s="17"/>
      <c r="L118" s="17"/>
      <c r="M118" s="17"/>
      <c r="N118" s="17"/>
    </row>
    <row r="119" spans="9:14">
      <c r="I119" s="17">
        <v>19.510000000000002</v>
      </c>
      <c r="J119" s="17">
        <v>39.549999999999997</v>
      </c>
      <c r="K119" s="17"/>
      <c r="L119" s="17"/>
      <c r="M119" s="17"/>
      <c r="N119" s="17"/>
    </row>
    <row r="120" spans="9:14">
      <c r="I120" s="17">
        <v>26.93</v>
      </c>
      <c r="J120" s="17">
        <v>24.33</v>
      </c>
      <c r="K120" s="17"/>
      <c r="L120" s="17"/>
      <c r="M120" s="17"/>
      <c r="N120" s="17"/>
    </row>
    <row r="121" spans="9:14">
      <c r="I121" s="17">
        <v>45.96</v>
      </c>
      <c r="J121" s="17">
        <v>47.1</v>
      </c>
      <c r="K121" s="17"/>
      <c r="L121" s="17"/>
      <c r="M121" s="17"/>
      <c r="N121" s="17"/>
    </row>
    <row r="122" spans="9:14">
      <c r="I122" s="17">
        <v>13.44</v>
      </c>
      <c r="J122" s="17">
        <v>28.19</v>
      </c>
      <c r="K122" s="17"/>
      <c r="L122" s="17"/>
      <c r="M122" s="17"/>
      <c r="N122" s="17"/>
    </row>
    <row r="123" spans="9:14">
      <c r="I123" s="17">
        <v>17.690000000000001</v>
      </c>
      <c r="J123" s="17">
        <v>10.23</v>
      </c>
      <c r="K123" s="17"/>
      <c r="L123" s="17"/>
      <c r="M123" s="17"/>
      <c r="N123" s="17"/>
    </row>
    <row r="124" spans="9:14">
      <c r="I124" s="17">
        <v>31.47</v>
      </c>
      <c r="J124" s="17">
        <v>15.34</v>
      </c>
      <c r="K124" s="17"/>
      <c r="L124" s="17"/>
      <c r="M124" s="17"/>
      <c r="N124" s="17"/>
    </row>
    <row r="125" spans="9:14">
      <c r="I125" s="17">
        <v>34.659999999999997</v>
      </c>
      <c r="J125" s="17">
        <v>46.15</v>
      </c>
      <c r="K125" s="17"/>
      <c r="L125" s="17"/>
      <c r="M125" s="17"/>
      <c r="N125" s="17"/>
    </row>
    <row r="126" spans="9:14">
      <c r="I126" s="17">
        <v>30.1</v>
      </c>
      <c r="J126" s="17">
        <v>19.09</v>
      </c>
      <c r="K126" s="17"/>
      <c r="L126" s="17"/>
      <c r="M126" s="17"/>
      <c r="N126" s="17"/>
    </row>
    <row r="127" spans="9:14">
      <c r="I127" s="17">
        <v>57.53</v>
      </c>
      <c r="J127" s="17">
        <v>56.97</v>
      </c>
      <c r="K127" s="17"/>
      <c r="L127" s="17"/>
      <c r="M127" s="17"/>
      <c r="N127" s="17"/>
    </row>
    <row r="128" spans="9:14">
      <c r="I128" s="17">
        <v>16.32</v>
      </c>
      <c r="J128" s="17">
        <v>19.97</v>
      </c>
      <c r="K128" s="17"/>
      <c r="L128" s="17"/>
      <c r="M128" s="17"/>
      <c r="N128" s="17"/>
    </row>
    <row r="129" spans="9:14">
      <c r="I129" s="17">
        <v>17.7</v>
      </c>
      <c r="J129" s="17">
        <v>7.5</v>
      </c>
      <c r="K129" s="17"/>
      <c r="L129" s="17"/>
      <c r="M129" s="17"/>
      <c r="N129" s="17"/>
    </row>
    <row r="130" spans="9:14">
      <c r="I130" s="17">
        <v>17.8</v>
      </c>
      <c r="J130" s="17">
        <v>36.86</v>
      </c>
      <c r="K130" s="17"/>
      <c r="L130" s="17"/>
      <c r="M130" s="17"/>
      <c r="N130" s="17"/>
    </row>
    <row r="131" spans="9:14">
      <c r="I131" s="17">
        <v>20.47</v>
      </c>
      <c r="J131" s="17">
        <v>18.89</v>
      </c>
      <c r="K131" s="17"/>
      <c r="L131" s="17"/>
      <c r="M131" s="17"/>
      <c r="N131" s="17"/>
    </row>
    <row r="132" spans="9:14">
      <c r="I132" s="17">
        <v>57.04</v>
      </c>
      <c r="J132" s="17">
        <v>59.72</v>
      </c>
      <c r="K132" s="17"/>
      <c r="L132" s="17"/>
      <c r="M132" s="17"/>
      <c r="N132" s="17"/>
    </row>
    <row r="133" spans="9:14">
      <c r="I133" s="17">
        <v>13.61</v>
      </c>
      <c r="J133" s="17">
        <v>29.15</v>
      </c>
      <c r="K133" s="17"/>
      <c r="L133" s="17"/>
      <c r="M133" s="17"/>
      <c r="N133" s="17"/>
    </row>
    <row r="134" spans="9:14">
      <c r="I134" s="17">
        <v>19.579999999999998</v>
      </c>
      <c r="J134" s="17">
        <v>11.57</v>
      </c>
      <c r="K134" s="17"/>
      <c r="L134" s="17"/>
      <c r="M134" s="17"/>
      <c r="N134" s="17"/>
    </row>
    <row r="135" spans="9:14">
      <c r="I135" s="17">
        <v>31.17</v>
      </c>
      <c r="J135" s="17">
        <v>15.53</v>
      </c>
      <c r="K135" s="17"/>
      <c r="L135" s="17"/>
      <c r="M135" s="17"/>
      <c r="N135" s="17"/>
    </row>
    <row r="136" spans="9:14">
      <c r="I136" s="17">
        <v>35.57</v>
      </c>
      <c r="J136" s="17">
        <v>48.39</v>
      </c>
      <c r="K136" s="17"/>
      <c r="L136" s="17"/>
      <c r="M136" s="17"/>
      <c r="N136" s="17"/>
    </row>
    <row r="137" spans="9:14">
      <c r="I137" s="17">
        <v>19.91</v>
      </c>
      <c r="J137" s="17">
        <v>31.1</v>
      </c>
      <c r="K137" s="17"/>
      <c r="L137" s="17"/>
      <c r="M137" s="17"/>
      <c r="N137" s="17"/>
    </row>
    <row r="138" spans="9:14">
      <c r="I138" s="17">
        <v>8.2799999999999994</v>
      </c>
      <c r="J138" s="17">
        <v>15.98</v>
      </c>
      <c r="K138" s="17"/>
      <c r="L138" s="17"/>
      <c r="M138" s="17"/>
      <c r="N138" s="17"/>
    </row>
    <row r="139" spans="9:14">
      <c r="I139" s="17">
        <v>16.350000000000001</v>
      </c>
      <c r="J139" s="17">
        <v>10.93</v>
      </c>
      <c r="K139" s="17"/>
      <c r="L139" s="17"/>
      <c r="M139" s="17"/>
      <c r="N139" s="17"/>
    </row>
    <row r="140" spans="9:14">
      <c r="I140" s="17">
        <v>12.5</v>
      </c>
      <c r="J140" s="17">
        <v>40.82</v>
      </c>
      <c r="K140" s="17"/>
      <c r="L140" s="17"/>
      <c r="M140" s="17"/>
      <c r="N140" s="17"/>
    </row>
    <row r="141" spans="9:14">
      <c r="I141" s="17">
        <v>19.29</v>
      </c>
      <c r="J141" s="17">
        <v>28.08</v>
      </c>
      <c r="K141" s="17"/>
      <c r="L141" s="17"/>
      <c r="M141" s="17"/>
      <c r="N141" s="17"/>
    </row>
    <row r="142" spans="9:14">
      <c r="I142" s="17">
        <v>18.89</v>
      </c>
      <c r="J142" s="17">
        <v>31.19</v>
      </c>
      <c r="K142" s="17"/>
      <c r="L142" s="17"/>
      <c r="M142" s="17"/>
      <c r="N142" s="17"/>
    </row>
    <row r="143" spans="9:14">
      <c r="I143" s="17">
        <v>9.0399999999999991</v>
      </c>
      <c r="J143" s="17">
        <v>30.54</v>
      </c>
      <c r="K143" s="17"/>
      <c r="L143" s="17"/>
      <c r="M143" s="17"/>
      <c r="N143" s="17"/>
    </row>
    <row r="144" spans="9:14">
      <c r="I144" s="17">
        <v>9.57</v>
      </c>
      <c r="J144" s="17">
        <v>8.92</v>
      </c>
      <c r="K144" s="17"/>
      <c r="L144" s="17"/>
      <c r="M144" s="17"/>
      <c r="N144" s="17"/>
    </row>
    <row r="145" spans="9:14">
      <c r="I145" s="17">
        <v>27.1</v>
      </c>
      <c r="J145" s="17">
        <v>21.29</v>
      </c>
      <c r="K145" s="17"/>
      <c r="L145" s="17"/>
      <c r="M145" s="17"/>
      <c r="N145" s="17"/>
    </row>
    <row r="146" spans="9:14">
      <c r="I146" s="17">
        <v>17.27</v>
      </c>
      <c r="J146" s="17">
        <v>37.049999999999997</v>
      </c>
      <c r="K146" s="17"/>
      <c r="L146" s="17"/>
      <c r="M146" s="17"/>
      <c r="N146" s="17"/>
    </row>
    <row r="147" spans="9:14">
      <c r="I147" s="17">
        <v>17.18</v>
      </c>
      <c r="J147" s="17">
        <v>21.22</v>
      </c>
      <c r="K147" s="17"/>
      <c r="L147" s="17"/>
      <c r="M147" s="17"/>
      <c r="N147" s="17"/>
    </row>
    <row r="148" spans="9:14">
      <c r="I148" s="17">
        <v>22.31</v>
      </c>
      <c r="J148" s="17">
        <v>9.5500000000000007</v>
      </c>
      <c r="K148" s="17"/>
      <c r="L148" s="17"/>
      <c r="M148" s="17"/>
      <c r="N148" s="17"/>
    </row>
    <row r="149" spans="9:14">
      <c r="I149" s="17">
        <v>20.66</v>
      </c>
      <c r="J149" s="17">
        <v>43.2</v>
      </c>
      <c r="K149" s="17"/>
      <c r="L149" s="17"/>
      <c r="M149" s="17"/>
      <c r="N149" s="17"/>
    </row>
    <row r="150" spans="9:14">
      <c r="I150" s="17">
        <v>22.64</v>
      </c>
      <c r="J150" s="17">
        <v>21.1</v>
      </c>
      <c r="K150" s="17"/>
      <c r="L150" s="17"/>
      <c r="M150" s="17"/>
      <c r="N150" s="17"/>
    </row>
    <row r="151" spans="9:14">
      <c r="I151" s="17">
        <v>93.94</v>
      </c>
      <c r="J151" s="17">
        <v>99.32</v>
      </c>
      <c r="K151" s="17"/>
      <c r="L151" s="17"/>
      <c r="M151" s="17"/>
      <c r="N151" s="17"/>
    </row>
    <row r="152" spans="9:14">
      <c r="I152" s="17">
        <v>14.49</v>
      </c>
      <c r="J152" s="17">
        <v>31.34</v>
      </c>
      <c r="K152" s="17"/>
      <c r="L152" s="17"/>
      <c r="M152" s="17"/>
      <c r="N152" s="17"/>
    </row>
    <row r="153" spans="9:14">
      <c r="I153" s="17">
        <v>20.56</v>
      </c>
      <c r="J153" s="17">
        <v>12.27</v>
      </c>
      <c r="K153" s="17"/>
      <c r="L153" s="17"/>
      <c r="M153" s="17"/>
      <c r="N153" s="17"/>
    </row>
    <row r="154" spans="9:14">
      <c r="I154" s="17">
        <v>32.340000000000003</v>
      </c>
      <c r="J154" s="17">
        <v>16.27</v>
      </c>
      <c r="K154" s="17"/>
      <c r="L154" s="17"/>
      <c r="M154" s="17"/>
      <c r="N154" s="17"/>
    </row>
    <row r="155" spans="9:14">
      <c r="I155" s="17">
        <v>37.61</v>
      </c>
      <c r="J155" s="17">
        <v>51.67</v>
      </c>
      <c r="K155" s="17"/>
      <c r="L155" s="17"/>
      <c r="M155" s="17"/>
      <c r="N155" s="17"/>
    </row>
    <row r="156" spans="9:14">
      <c r="I156" s="17">
        <v>23.1</v>
      </c>
      <c r="J156" s="17">
        <v>8</v>
      </c>
      <c r="K156" s="17"/>
      <c r="L156" s="17"/>
      <c r="M156" s="17"/>
      <c r="N156" s="17"/>
    </row>
    <row r="157" spans="9:14">
      <c r="I157" s="17">
        <v>14.01</v>
      </c>
      <c r="J157" s="17">
        <v>23.72</v>
      </c>
      <c r="K157" s="17"/>
      <c r="L157" s="17"/>
      <c r="M157" s="17"/>
      <c r="N157" s="17"/>
    </row>
    <row r="158" spans="9:14">
      <c r="I158" s="17">
        <v>28.35</v>
      </c>
      <c r="J158" s="17">
        <v>21.38</v>
      </c>
      <c r="K158" s="17"/>
      <c r="L158" s="17"/>
      <c r="M158" s="17"/>
      <c r="N158" s="17"/>
    </row>
    <row r="159" spans="9:14">
      <c r="I159" s="17">
        <v>19.22</v>
      </c>
      <c r="J159" s="17">
        <v>16.45</v>
      </c>
      <c r="K159" s="17"/>
      <c r="L159" s="17"/>
      <c r="M159" s="17"/>
      <c r="N159" s="17"/>
    </row>
    <row r="160" spans="9:14">
      <c r="I160" s="17">
        <v>12.94</v>
      </c>
      <c r="J160" s="17">
        <v>22.66</v>
      </c>
      <c r="K160" s="17"/>
      <c r="L160" s="17"/>
      <c r="M160" s="17"/>
      <c r="N160" s="17"/>
    </row>
    <row r="161" spans="9:14">
      <c r="I161" s="17">
        <v>14.09</v>
      </c>
      <c r="J161" s="17">
        <v>6.81</v>
      </c>
      <c r="K161" s="17"/>
      <c r="L161" s="17"/>
      <c r="M161" s="17"/>
      <c r="N161" s="17"/>
    </row>
    <row r="162" spans="9:14">
      <c r="I162" s="17">
        <v>16.940000000000001</v>
      </c>
      <c r="J162" s="17">
        <v>6.9</v>
      </c>
      <c r="K162" s="17"/>
      <c r="L162" s="17"/>
      <c r="M162" s="17"/>
      <c r="N162" s="17"/>
    </row>
    <row r="163" spans="9:14">
      <c r="I163" s="17">
        <v>18.149999999999999</v>
      </c>
      <c r="J163" s="17">
        <v>20.18</v>
      </c>
      <c r="K163" s="17"/>
      <c r="L163" s="17"/>
      <c r="M163" s="17"/>
      <c r="N163" s="17"/>
    </row>
    <row r="164" spans="9:14">
      <c r="I164" s="17">
        <v>8.2899999999999991</v>
      </c>
      <c r="J164" s="17">
        <v>40.5</v>
      </c>
      <c r="K164" s="17"/>
      <c r="L164" s="17"/>
      <c r="M164" s="17"/>
      <c r="N164" s="17"/>
    </row>
    <row r="165" spans="9:14">
      <c r="I165" s="17">
        <v>8.74</v>
      </c>
      <c r="J165" s="17">
        <v>19.03</v>
      </c>
      <c r="K165" s="17"/>
      <c r="L165" s="17"/>
      <c r="M165" s="17"/>
      <c r="N165" s="17"/>
    </row>
    <row r="166" spans="9:14">
      <c r="I166" s="17">
        <v>8.7799999999999994</v>
      </c>
      <c r="J166" s="17">
        <v>21.69</v>
      </c>
      <c r="K166" s="17"/>
      <c r="L166" s="17"/>
      <c r="M166" s="17"/>
      <c r="N166" s="17"/>
    </row>
    <row r="167" spans="9:14">
      <c r="I167" s="17">
        <v>7.95</v>
      </c>
      <c r="J167" s="17">
        <v>40.18</v>
      </c>
      <c r="K167" s="17"/>
      <c r="L167" s="17"/>
      <c r="M167" s="17"/>
      <c r="N167" s="17"/>
    </row>
    <row r="168" spans="9:14">
      <c r="I168" s="17">
        <v>19.02</v>
      </c>
      <c r="J168" s="17">
        <v>26.52</v>
      </c>
      <c r="K168" s="17"/>
      <c r="L168" s="17"/>
      <c r="M168" s="17"/>
      <c r="N168" s="17"/>
    </row>
    <row r="169" spans="9:14">
      <c r="I169" s="17">
        <v>14.57</v>
      </c>
      <c r="J169" s="17">
        <v>17.13</v>
      </c>
      <c r="K169" s="17"/>
      <c r="L169" s="17"/>
      <c r="M169" s="17"/>
      <c r="N169" s="17"/>
    </row>
    <row r="170" spans="9:14">
      <c r="I170" s="17">
        <v>6.84</v>
      </c>
      <c r="J170" s="17">
        <v>21.98</v>
      </c>
      <c r="K170" s="17"/>
      <c r="L170" s="17"/>
      <c r="M170" s="17"/>
      <c r="N170" s="17"/>
    </row>
    <row r="171" spans="9:14">
      <c r="I171" s="17">
        <v>41.08</v>
      </c>
      <c r="J171" s="17">
        <v>18.3</v>
      </c>
      <c r="K171" s="17"/>
      <c r="L171" s="17"/>
      <c r="M171" s="17"/>
      <c r="N171" s="17"/>
    </row>
    <row r="172" spans="9:14">
      <c r="I172" s="17">
        <v>42.93</v>
      </c>
      <c r="J172" s="17">
        <v>21.71</v>
      </c>
      <c r="K172" s="17"/>
      <c r="L172" s="17"/>
      <c r="M172" s="17"/>
      <c r="N172" s="17"/>
    </row>
    <row r="173" spans="9:14">
      <c r="I173" s="17">
        <v>71.75</v>
      </c>
      <c r="J173" s="17">
        <v>74.209999999999994</v>
      </c>
      <c r="K173" s="17"/>
      <c r="L173" s="17"/>
      <c r="M173" s="17"/>
      <c r="N173" s="17"/>
    </row>
    <row r="174" spans="9:14">
      <c r="I174" s="17">
        <v>37.07</v>
      </c>
      <c r="J174" s="17">
        <v>10.58</v>
      </c>
      <c r="K174" s="17"/>
      <c r="L174" s="17"/>
      <c r="M174" s="17"/>
      <c r="N174" s="17"/>
    </row>
    <row r="175" spans="9:14">
      <c r="I175" s="17">
        <v>41.77</v>
      </c>
      <c r="J175" s="17">
        <v>10.050000000000001</v>
      </c>
      <c r="K175" s="17"/>
      <c r="L175" s="17"/>
      <c r="M175" s="17"/>
      <c r="N175" s="17"/>
    </row>
    <row r="176" spans="9:14">
      <c r="I176" s="17">
        <v>44.98</v>
      </c>
      <c r="J176" s="17">
        <v>29.55</v>
      </c>
      <c r="K176" s="17"/>
      <c r="L176" s="17"/>
      <c r="M176" s="17"/>
      <c r="N176" s="17"/>
    </row>
    <row r="177" spans="9:14">
      <c r="I177" s="17">
        <v>19.43</v>
      </c>
      <c r="J177" s="17">
        <v>22.04</v>
      </c>
      <c r="K177" s="17"/>
      <c r="L177" s="17"/>
      <c r="M177" s="17"/>
      <c r="N177" s="17"/>
    </row>
    <row r="178" spans="9:14">
      <c r="I178" s="17">
        <v>14.25</v>
      </c>
      <c r="J178" s="17">
        <v>33.07</v>
      </c>
      <c r="K178" s="17"/>
      <c r="L178" s="17"/>
      <c r="M178" s="17"/>
      <c r="N178" s="17"/>
    </row>
    <row r="179" spans="9:14">
      <c r="I179" s="17">
        <v>16.09</v>
      </c>
      <c r="J179" s="17">
        <v>10.3</v>
      </c>
      <c r="K179" s="17"/>
      <c r="L179" s="17"/>
      <c r="M179" s="17"/>
      <c r="N179" s="17"/>
    </row>
    <row r="180" spans="9:14">
      <c r="I180" s="17">
        <v>35.99</v>
      </c>
      <c r="J180" s="17">
        <v>19.43</v>
      </c>
      <c r="K180" s="17"/>
      <c r="L180" s="17"/>
      <c r="M180" s="17"/>
      <c r="N180" s="17"/>
    </row>
    <row r="181" spans="9:14">
      <c r="I181" s="17">
        <v>19.93</v>
      </c>
      <c r="J181" s="17">
        <v>29.38</v>
      </c>
      <c r="K181" s="17"/>
      <c r="L181" s="17"/>
      <c r="M181" s="17"/>
      <c r="N181" s="17"/>
    </row>
    <row r="182" spans="9:14">
      <c r="I182" s="17">
        <v>15.34</v>
      </c>
      <c r="J182" s="17">
        <v>31.39</v>
      </c>
      <c r="K182" s="17"/>
      <c r="L182" s="17"/>
      <c r="M182" s="17"/>
      <c r="N182" s="17"/>
    </row>
    <row r="183" spans="9:14">
      <c r="I183" s="17">
        <v>21.63</v>
      </c>
      <c r="J183" s="17">
        <v>12.21</v>
      </c>
      <c r="K183" s="17"/>
      <c r="L183" s="17"/>
      <c r="M183" s="17"/>
      <c r="N183" s="17"/>
    </row>
    <row r="184" spans="9:14">
      <c r="I184" s="17">
        <v>32.270000000000003</v>
      </c>
      <c r="J184" s="17">
        <v>15.36</v>
      </c>
      <c r="K184" s="17"/>
      <c r="L184" s="17"/>
      <c r="M184" s="17"/>
      <c r="N184" s="17"/>
    </row>
    <row r="185" spans="9:14">
      <c r="I185" s="17">
        <v>39.700000000000003</v>
      </c>
      <c r="J185" s="17">
        <v>51.59</v>
      </c>
      <c r="K185" s="17"/>
      <c r="L185" s="17"/>
      <c r="M185" s="17"/>
      <c r="N185" s="17"/>
    </row>
    <row r="186" spans="9:14">
      <c r="I186" s="17">
        <v>39.85</v>
      </c>
      <c r="J186" s="17">
        <v>11</v>
      </c>
      <c r="K186" s="17"/>
      <c r="L186" s="17"/>
      <c r="M186" s="17"/>
      <c r="N186" s="17"/>
    </row>
    <row r="187" spans="9:14">
      <c r="I187" s="17">
        <v>34.06</v>
      </c>
      <c r="J187" s="17">
        <v>7.92</v>
      </c>
      <c r="K187" s="17"/>
      <c r="L187" s="17"/>
      <c r="M187" s="17"/>
      <c r="N187" s="17"/>
    </row>
    <row r="188" spans="9:14">
      <c r="I188" s="17">
        <v>31.71</v>
      </c>
      <c r="J188" s="17">
        <v>20.14</v>
      </c>
      <c r="K188" s="17"/>
      <c r="L188" s="17"/>
      <c r="M188" s="17"/>
      <c r="N188" s="17"/>
    </row>
    <row r="189" spans="9:14">
      <c r="I189" s="17">
        <v>27.18</v>
      </c>
      <c r="J189" s="17">
        <v>22.91</v>
      </c>
      <c r="K189" s="17"/>
      <c r="L189" s="17"/>
      <c r="M189" s="17"/>
      <c r="N189" s="17"/>
    </row>
    <row r="190" spans="9:14">
      <c r="I190" s="17">
        <v>8.94</v>
      </c>
      <c r="J190" s="17">
        <v>20.58</v>
      </c>
      <c r="K190" s="17"/>
      <c r="L190" s="17"/>
      <c r="M190" s="17"/>
      <c r="N190" s="17"/>
    </row>
    <row r="191" spans="9:14">
      <c r="I191" s="17">
        <v>12.1</v>
      </c>
      <c r="J191" s="17">
        <v>33.049999999999997</v>
      </c>
      <c r="K191" s="17"/>
      <c r="L191" s="17"/>
      <c r="M191" s="17"/>
      <c r="N191" s="17"/>
    </row>
    <row r="192" spans="9:14">
      <c r="I192" s="17"/>
      <c r="J192" s="17"/>
      <c r="K192" s="17"/>
      <c r="L192" s="17"/>
      <c r="M192" s="17"/>
      <c r="N192" s="17"/>
    </row>
    <row r="193" spans="9:14">
      <c r="I193" s="17"/>
      <c r="J193" s="17"/>
      <c r="K193" s="17"/>
      <c r="L193" s="17"/>
      <c r="M193" s="17"/>
      <c r="N193" s="17"/>
    </row>
    <row r="194" spans="9:14">
      <c r="I194" s="17"/>
      <c r="J194" s="17"/>
      <c r="K194" s="17"/>
      <c r="L194" s="17"/>
      <c r="M194" s="17"/>
      <c r="N194" s="17"/>
    </row>
    <row r="195" spans="9:14">
      <c r="I195" s="17"/>
      <c r="J195" s="17"/>
      <c r="K195" s="17"/>
      <c r="L195" s="17"/>
      <c r="M195" s="17"/>
      <c r="N195" s="17"/>
    </row>
    <row r="196" spans="9:14">
      <c r="I196" s="17"/>
      <c r="J196" s="17"/>
      <c r="K196" s="17"/>
      <c r="L196" s="17"/>
      <c r="M196" s="17"/>
      <c r="N196" s="17"/>
    </row>
    <row r="197" spans="9:14">
      <c r="I197" s="17"/>
      <c r="J197" s="17"/>
      <c r="K197" s="17"/>
      <c r="L197" s="17"/>
      <c r="M197" s="17"/>
      <c r="N197" s="17"/>
    </row>
    <row r="198" spans="9:14">
      <c r="I198" s="17"/>
      <c r="J198" s="17"/>
      <c r="K198" s="17"/>
      <c r="L198" s="17"/>
      <c r="M198" s="17"/>
      <c r="N198" s="17"/>
    </row>
    <row r="199" spans="9:14">
      <c r="I199" s="17"/>
      <c r="J199" s="17"/>
      <c r="K199" s="17"/>
      <c r="L199" s="17"/>
      <c r="M199" s="17"/>
      <c r="N199" s="17"/>
    </row>
    <row r="200" spans="9:14">
      <c r="I200" s="17"/>
      <c r="J200" s="17"/>
      <c r="K200" s="17"/>
      <c r="L200" s="17"/>
      <c r="M200" s="17"/>
      <c r="N200" s="17"/>
    </row>
    <row r="201" spans="9:14">
      <c r="I201" s="17"/>
      <c r="J201" s="17"/>
      <c r="K201" s="17"/>
      <c r="L201" s="17"/>
      <c r="M201" s="17"/>
      <c r="N201" s="17"/>
    </row>
    <row r="202" spans="9:14">
      <c r="I202" s="17"/>
      <c r="J202" s="17"/>
      <c r="K202" s="17"/>
      <c r="L202" s="17"/>
      <c r="M202" s="17"/>
      <c r="N202" s="17"/>
    </row>
    <row r="203" spans="9:14">
      <c r="I203" s="17"/>
      <c r="J203" s="17"/>
      <c r="K203" s="17"/>
      <c r="L203" s="17"/>
      <c r="M203" s="17"/>
      <c r="N203" s="17"/>
    </row>
    <row r="204" spans="9:14">
      <c r="I204" s="17"/>
      <c r="J204" s="17"/>
      <c r="K204" s="17"/>
      <c r="L204" s="17"/>
      <c r="M204" s="17"/>
      <c r="N204" s="17"/>
    </row>
    <row r="205" spans="9:14">
      <c r="I205" s="17"/>
      <c r="J205" s="17"/>
      <c r="K205" s="17"/>
      <c r="L205" s="17"/>
      <c r="M205" s="17"/>
      <c r="N205" s="17"/>
    </row>
    <row r="206" spans="9:14">
      <c r="I206" s="17"/>
      <c r="J206" s="17"/>
      <c r="K206" s="17"/>
      <c r="L206" s="17"/>
      <c r="M206" s="17"/>
      <c r="N206" s="17"/>
    </row>
    <row r="207" spans="9:14">
      <c r="I207" s="17"/>
      <c r="J207" s="17"/>
      <c r="K207" s="17"/>
      <c r="L207" s="17"/>
      <c r="M207" s="17"/>
      <c r="N207" s="17"/>
    </row>
    <row r="208" spans="9:14">
      <c r="I208" s="17"/>
      <c r="J208" s="17"/>
      <c r="K208" s="17"/>
      <c r="L208" s="17"/>
      <c r="M208" s="17"/>
      <c r="N208" s="17"/>
    </row>
    <row r="209" spans="9:14">
      <c r="I209" s="17"/>
      <c r="J209" s="17"/>
      <c r="K209" s="17"/>
      <c r="L209" s="17"/>
      <c r="M209" s="17"/>
      <c r="N209" s="17"/>
    </row>
    <row r="210" spans="9:14">
      <c r="I210" s="17"/>
      <c r="J210" s="17"/>
      <c r="K210" s="17"/>
      <c r="L210" s="17"/>
      <c r="M210" s="17"/>
      <c r="N210" s="17"/>
    </row>
    <row r="211" spans="9:14">
      <c r="I211" s="17"/>
      <c r="J211" s="17"/>
      <c r="K211" s="17"/>
      <c r="L211" s="17"/>
      <c r="M211" s="17"/>
      <c r="N211" s="17"/>
    </row>
    <row r="212" spans="9:14">
      <c r="I212" s="17"/>
      <c r="J212" s="17"/>
      <c r="K212" s="17"/>
      <c r="L212" s="17"/>
      <c r="M212" s="17"/>
      <c r="N212" s="17"/>
    </row>
    <row r="213" spans="9:14">
      <c r="I213" s="17"/>
      <c r="J213" s="17"/>
      <c r="K213" s="17"/>
      <c r="L213" s="17"/>
      <c r="M213" s="17"/>
      <c r="N213" s="17"/>
    </row>
    <row r="214" spans="9:14">
      <c r="I214" s="17"/>
      <c r="J214" s="17"/>
      <c r="K214" s="17"/>
      <c r="L214" s="17"/>
      <c r="M214" s="17"/>
      <c r="N214" s="17"/>
    </row>
    <row r="215" spans="9:14">
      <c r="I215" s="17"/>
      <c r="J215" s="17"/>
      <c r="K215" s="17"/>
      <c r="L215" s="17"/>
      <c r="M215" s="17"/>
      <c r="N215" s="17"/>
    </row>
    <row r="216" spans="9:14">
      <c r="I216" s="17"/>
      <c r="J216" s="17"/>
      <c r="K216" s="17"/>
      <c r="L216" s="17"/>
      <c r="M216" s="17"/>
      <c r="N216" s="17"/>
    </row>
    <row r="217" spans="9:14">
      <c r="I217" s="17"/>
      <c r="J217" s="17"/>
      <c r="K217" s="17"/>
      <c r="L217" s="17"/>
      <c r="M217" s="17"/>
      <c r="N217" s="17"/>
    </row>
    <row r="218" spans="9:14">
      <c r="I218" s="17"/>
      <c r="J218" s="17"/>
      <c r="K218" s="17"/>
      <c r="L218" s="17"/>
      <c r="M218" s="17"/>
      <c r="N218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C1E5-582F-4E49-8A61-44042236B088}">
  <dimension ref="A1:U253"/>
  <sheetViews>
    <sheetView workbookViewId="0">
      <selection activeCell="A2" sqref="A2"/>
    </sheetView>
  </sheetViews>
  <sheetFormatPr baseColWidth="10" defaultRowHeight="16"/>
  <cols>
    <col min="1" max="1" width="9.6640625" bestFit="1" customWidth="1"/>
    <col min="2" max="2" width="7.1640625" bestFit="1" customWidth="1"/>
    <col min="3" max="3" width="9.1640625" bestFit="1" customWidth="1"/>
    <col min="4" max="4" width="7.1640625" bestFit="1" customWidth="1"/>
    <col min="5" max="5" width="8.5" bestFit="1" customWidth="1"/>
    <col min="6" max="6" width="7.1640625" bestFit="1" customWidth="1"/>
    <col min="16" max="16" width="20.33203125" bestFit="1" customWidth="1"/>
    <col min="18" max="18" width="20.33203125" bestFit="1" customWidth="1"/>
  </cols>
  <sheetData>
    <row r="1" spans="1:21">
      <c r="A1" s="8" t="s">
        <v>9</v>
      </c>
      <c r="B1" s="9">
        <f>SUM(A2:B5)/COUNT(A2:B5)</f>
        <v>0.16500000000000001</v>
      </c>
      <c r="C1" s="8" t="s">
        <v>4</v>
      </c>
      <c r="D1" s="9">
        <f>SUM(C2:D22)/COUNT(C2:D22)</f>
        <v>0.1738095238095238</v>
      </c>
      <c r="E1" s="8" t="s">
        <v>1</v>
      </c>
      <c r="F1" s="9">
        <f>SUM(E2:F37)/COUNT(E2:F37)</f>
        <v>0.21527777777777782</v>
      </c>
      <c r="G1" s="8" t="s">
        <v>2</v>
      </c>
      <c r="H1" s="9">
        <f>SUM(G2:H4)/COUNT(G2:H4)</f>
        <v>9.3333333333333338E-2</v>
      </c>
      <c r="I1" s="8" t="s">
        <v>0</v>
      </c>
      <c r="J1" s="9">
        <f>SUM(I2:J191)/COUNT(I2:J191)</f>
        <v>0.20350000000000004</v>
      </c>
      <c r="K1" s="8" t="s">
        <v>7</v>
      </c>
      <c r="L1" s="9">
        <f>SUM(K2:L20)/COUNT(K2:L20)</f>
        <v>0.12394736842105265</v>
      </c>
      <c r="M1" s="8" t="s">
        <v>8</v>
      </c>
      <c r="N1" s="9">
        <f>SUM(M2:N29)/COUNT(M2:N29)</f>
        <v>0.14571428571428569</v>
      </c>
    </row>
    <row r="2" spans="1:21">
      <c r="A2" s="10">
        <v>0.2</v>
      </c>
      <c r="B2" s="7">
        <v>0.2</v>
      </c>
      <c r="C2" s="5">
        <v>0.16</v>
      </c>
      <c r="D2" s="5">
        <v>0.35</v>
      </c>
      <c r="E2" s="5">
        <v>0.4</v>
      </c>
      <c r="F2" s="5">
        <v>0.31</v>
      </c>
      <c r="G2" s="7">
        <v>0.1</v>
      </c>
      <c r="H2" s="7">
        <v>0.05</v>
      </c>
      <c r="I2" s="5">
        <v>0.14000000000000001</v>
      </c>
      <c r="J2" s="5">
        <v>0.26</v>
      </c>
      <c r="K2" s="5">
        <v>0.16</v>
      </c>
      <c r="L2" s="5">
        <v>0</v>
      </c>
      <c r="M2" s="5">
        <v>0.21</v>
      </c>
      <c r="N2" s="5">
        <v>0.16</v>
      </c>
      <c r="O2" s="4"/>
      <c r="P2" s="4"/>
      <c r="Q2" s="4"/>
      <c r="U2" s="5"/>
    </row>
    <row r="3" spans="1:21">
      <c r="A3" s="10">
        <v>0.16</v>
      </c>
      <c r="B3" s="7">
        <v>0.28000000000000003</v>
      </c>
      <c r="C3" s="5">
        <v>0.31</v>
      </c>
      <c r="D3" s="5">
        <v>0.11</v>
      </c>
      <c r="E3" s="5">
        <v>0.13</v>
      </c>
      <c r="F3" s="5">
        <v>0.2</v>
      </c>
      <c r="G3" s="7">
        <v>0.12</v>
      </c>
      <c r="H3" s="7">
        <v>0.09</v>
      </c>
      <c r="I3" s="5">
        <v>0.1</v>
      </c>
      <c r="J3" s="5">
        <v>0.31</v>
      </c>
      <c r="K3" s="5">
        <v>0.54</v>
      </c>
      <c r="L3" s="5">
        <v>0.6</v>
      </c>
      <c r="M3" s="5">
        <v>0.11</v>
      </c>
      <c r="N3" s="5">
        <v>0.18</v>
      </c>
      <c r="O3" s="4"/>
      <c r="P3" s="4"/>
      <c r="Q3" s="4"/>
      <c r="S3" s="4"/>
      <c r="U3" s="5"/>
    </row>
    <row r="4" spans="1:21">
      <c r="A4" s="6">
        <v>0.16</v>
      </c>
      <c r="B4" s="6">
        <v>0.28000000000000003</v>
      </c>
      <c r="C4" s="5">
        <v>0.23</v>
      </c>
      <c r="D4" s="5">
        <v>0.04</v>
      </c>
      <c r="E4" s="5">
        <v>0.14000000000000001</v>
      </c>
      <c r="F4" s="5">
        <v>0.28000000000000003</v>
      </c>
      <c r="G4" s="7">
        <v>0.08</v>
      </c>
      <c r="H4" s="7">
        <v>0.12</v>
      </c>
      <c r="I4" s="5">
        <v>0.2</v>
      </c>
      <c r="J4" s="5">
        <v>0.34</v>
      </c>
      <c r="K4" s="5">
        <v>0</v>
      </c>
      <c r="L4" s="5">
        <v>0.12</v>
      </c>
      <c r="M4" s="5">
        <v>0.08</v>
      </c>
      <c r="N4" s="5">
        <v>0.18</v>
      </c>
      <c r="O4" s="4"/>
      <c r="P4" s="4"/>
      <c r="Q4" s="4"/>
      <c r="S4" s="4"/>
      <c r="U4" s="5"/>
    </row>
    <row r="5" spans="1:21">
      <c r="A5" s="6">
        <v>0.04</v>
      </c>
      <c r="B5" s="6">
        <v>0</v>
      </c>
      <c r="C5" s="5">
        <v>0.15</v>
      </c>
      <c r="D5" s="5">
        <v>0.05</v>
      </c>
      <c r="E5" s="5">
        <v>0.21</v>
      </c>
      <c r="F5" s="5">
        <v>0.12</v>
      </c>
      <c r="G5" s="4"/>
      <c r="H5" s="4"/>
      <c r="I5" s="5">
        <v>0.12</v>
      </c>
      <c r="J5" s="5">
        <v>0.28999999999999998</v>
      </c>
      <c r="K5" s="5">
        <v>0.2</v>
      </c>
      <c r="L5" s="5">
        <v>0.24</v>
      </c>
      <c r="M5" s="5">
        <v>0.03</v>
      </c>
      <c r="N5" s="5">
        <v>0.17</v>
      </c>
      <c r="O5" s="4"/>
      <c r="P5" s="4"/>
      <c r="Q5" s="4"/>
      <c r="S5" s="4"/>
      <c r="U5" s="5"/>
    </row>
    <row r="6" spans="1:21">
      <c r="A6" s="6"/>
      <c r="B6" s="6"/>
      <c r="C6" s="5">
        <v>0.17</v>
      </c>
      <c r="D6" s="5">
        <v>0.02</v>
      </c>
      <c r="E6" s="5">
        <v>0.26</v>
      </c>
      <c r="F6" s="5">
        <v>0.19</v>
      </c>
      <c r="G6" s="4"/>
      <c r="H6" s="4"/>
      <c r="I6" s="5">
        <v>0.21</v>
      </c>
      <c r="J6" s="5">
        <v>0.27</v>
      </c>
      <c r="K6" s="5">
        <v>0</v>
      </c>
      <c r="L6" s="5">
        <v>0.08</v>
      </c>
      <c r="M6" s="5">
        <v>0.03</v>
      </c>
      <c r="N6" s="5">
        <v>0.21</v>
      </c>
      <c r="O6" s="4"/>
      <c r="P6" s="4"/>
      <c r="Q6" s="4"/>
      <c r="S6" s="4"/>
      <c r="U6" s="5"/>
    </row>
    <row r="7" spans="1:21">
      <c r="A7" s="6"/>
      <c r="B7" s="6"/>
      <c r="C7" s="5">
        <v>7.0000000000000007E-2</v>
      </c>
      <c r="D7" s="5">
        <v>0.06</v>
      </c>
      <c r="E7" s="5">
        <v>0.31</v>
      </c>
      <c r="F7" s="5">
        <v>0.12</v>
      </c>
      <c r="G7" s="4"/>
      <c r="H7" s="4"/>
      <c r="I7" s="5">
        <v>0.33</v>
      </c>
      <c r="J7" s="5">
        <v>0.24</v>
      </c>
      <c r="K7" s="5">
        <v>0.21</v>
      </c>
      <c r="L7" s="5">
        <v>0.23</v>
      </c>
      <c r="M7" s="5">
        <v>0.06</v>
      </c>
      <c r="N7" s="5">
        <v>0.17</v>
      </c>
      <c r="O7" s="4"/>
      <c r="P7" s="4"/>
      <c r="Q7" s="4"/>
      <c r="S7" s="4"/>
      <c r="U7" s="5"/>
    </row>
    <row r="8" spans="1:21">
      <c r="A8" s="16"/>
      <c r="B8" s="16"/>
      <c r="C8" s="5">
        <v>0.19</v>
      </c>
      <c r="D8" s="5">
        <v>0.1</v>
      </c>
      <c r="E8" s="5">
        <v>0.11</v>
      </c>
      <c r="F8" s="5">
        <v>0.12</v>
      </c>
      <c r="G8" s="4"/>
      <c r="H8" s="4"/>
      <c r="I8" s="5">
        <v>0.14000000000000001</v>
      </c>
      <c r="J8" s="5">
        <v>0.14000000000000001</v>
      </c>
      <c r="K8" s="5">
        <v>0.1</v>
      </c>
      <c r="L8" s="5">
        <v>0.1</v>
      </c>
      <c r="M8" s="5">
        <v>0.1</v>
      </c>
      <c r="N8" s="5">
        <v>0.14000000000000001</v>
      </c>
      <c r="O8" s="4"/>
      <c r="P8" s="4"/>
      <c r="Q8" s="4"/>
      <c r="S8" s="4"/>
      <c r="U8" s="5"/>
    </row>
    <row r="9" spans="1:21">
      <c r="A9" s="16"/>
      <c r="B9" s="16"/>
      <c r="C9" s="5">
        <v>0.19</v>
      </c>
      <c r="D9" s="5">
        <v>0.04</v>
      </c>
      <c r="E9" s="5">
        <v>0.12</v>
      </c>
      <c r="F9" s="5">
        <v>0.18</v>
      </c>
      <c r="G9" s="4"/>
      <c r="H9" s="4"/>
      <c r="I9" s="5">
        <v>0.27</v>
      </c>
      <c r="J9" s="5">
        <v>0.14000000000000001</v>
      </c>
      <c r="K9" s="5">
        <v>0.11</v>
      </c>
      <c r="L9" s="5">
        <v>0.1</v>
      </c>
      <c r="M9" s="5">
        <v>0.13</v>
      </c>
      <c r="N9" s="5">
        <v>0.25</v>
      </c>
      <c r="O9" s="4"/>
      <c r="P9" s="4"/>
      <c r="Q9" s="4"/>
      <c r="S9" s="4"/>
      <c r="U9" s="5"/>
    </row>
    <row r="10" spans="1:21">
      <c r="A10" s="16"/>
      <c r="B10" s="16"/>
      <c r="C10" s="5">
        <v>0.13</v>
      </c>
      <c r="D10" s="5">
        <v>0.19</v>
      </c>
      <c r="E10" s="5">
        <v>0.16</v>
      </c>
      <c r="F10" s="5">
        <v>0.12</v>
      </c>
      <c r="G10" s="4"/>
      <c r="H10" s="4"/>
      <c r="I10" s="5">
        <v>0.36</v>
      </c>
      <c r="J10" s="5">
        <v>0.11</v>
      </c>
      <c r="K10" s="5">
        <v>0.14000000000000001</v>
      </c>
      <c r="L10" s="5">
        <v>0.11</v>
      </c>
      <c r="M10" s="5">
        <v>0.15</v>
      </c>
      <c r="N10" s="5">
        <v>0.14000000000000001</v>
      </c>
      <c r="O10" s="4"/>
      <c r="P10" s="4"/>
      <c r="Q10" s="4"/>
      <c r="S10" s="4"/>
      <c r="U10" s="5"/>
    </row>
    <row r="11" spans="1:21">
      <c r="A11" s="16"/>
      <c r="B11" s="16"/>
      <c r="C11" s="5">
        <v>0.11</v>
      </c>
      <c r="D11" s="5">
        <v>0.17</v>
      </c>
      <c r="E11" s="5">
        <v>0.06</v>
      </c>
      <c r="F11" s="5">
        <v>0.12</v>
      </c>
      <c r="G11" s="4"/>
      <c r="H11" s="4"/>
      <c r="I11" s="5">
        <v>0.26</v>
      </c>
      <c r="J11" s="5">
        <v>0.11</v>
      </c>
      <c r="K11" s="5">
        <v>0.09</v>
      </c>
      <c r="L11" s="5">
        <v>0</v>
      </c>
      <c r="M11" s="5">
        <v>0.22</v>
      </c>
      <c r="N11" s="5">
        <v>7.0000000000000007E-2</v>
      </c>
      <c r="O11" s="4"/>
      <c r="P11" s="4"/>
      <c r="Q11" s="4"/>
      <c r="S11" s="4"/>
      <c r="U11" s="5"/>
    </row>
    <row r="12" spans="1:21">
      <c r="A12" s="16"/>
      <c r="B12" s="16"/>
      <c r="C12" s="5">
        <v>0.34</v>
      </c>
      <c r="D12" s="5">
        <v>0.21</v>
      </c>
      <c r="E12" s="5">
        <v>0.19</v>
      </c>
      <c r="F12" s="5">
        <v>0.22</v>
      </c>
      <c r="G12" s="4"/>
      <c r="H12" s="4"/>
      <c r="I12" s="5">
        <v>0.08</v>
      </c>
      <c r="J12" s="5">
        <v>0.26</v>
      </c>
      <c r="K12" s="5">
        <v>0.04</v>
      </c>
      <c r="L12" s="5">
        <v>0.08</v>
      </c>
      <c r="M12" s="5">
        <v>0.15</v>
      </c>
      <c r="N12" s="5">
        <v>0.28000000000000003</v>
      </c>
      <c r="O12" s="4"/>
      <c r="P12" s="4"/>
      <c r="Q12" s="4"/>
      <c r="S12" s="4"/>
      <c r="U12" s="5"/>
    </row>
    <row r="13" spans="1:21">
      <c r="A13" s="16"/>
      <c r="B13" s="16"/>
      <c r="C13" s="5">
        <v>0.27</v>
      </c>
      <c r="D13" s="5">
        <v>0.08</v>
      </c>
      <c r="E13" s="5">
        <v>0.25</v>
      </c>
      <c r="F13" s="5">
        <v>0.38</v>
      </c>
      <c r="G13" s="4"/>
      <c r="H13" s="4"/>
      <c r="I13" s="5">
        <v>0.16</v>
      </c>
      <c r="J13" s="5">
        <v>0.28000000000000003</v>
      </c>
      <c r="K13" s="5">
        <v>0.08</v>
      </c>
      <c r="L13" s="5">
        <v>0</v>
      </c>
      <c r="M13" s="5">
        <v>0.14000000000000001</v>
      </c>
      <c r="N13" s="5">
        <v>0.36</v>
      </c>
      <c r="O13" s="4"/>
      <c r="P13" s="4"/>
      <c r="Q13" s="4"/>
      <c r="S13" s="4"/>
      <c r="U13" s="5"/>
    </row>
    <row r="14" spans="1:21">
      <c r="A14" s="11"/>
      <c r="B14" s="11"/>
      <c r="C14" s="5">
        <v>0.16</v>
      </c>
      <c r="D14" s="5">
        <v>0.26</v>
      </c>
      <c r="E14" s="5">
        <v>0.28999999999999998</v>
      </c>
      <c r="F14" s="5">
        <v>0.23</v>
      </c>
      <c r="G14" s="4"/>
      <c r="H14" s="4"/>
      <c r="I14" s="5">
        <v>0.3</v>
      </c>
      <c r="J14" s="5">
        <v>0.31</v>
      </c>
      <c r="K14" s="5">
        <v>0.06</v>
      </c>
      <c r="L14" s="5">
        <v>0</v>
      </c>
      <c r="M14" s="5">
        <v>0.15</v>
      </c>
      <c r="N14" s="5">
        <v>0.18</v>
      </c>
      <c r="O14" s="4"/>
      <c r="P14" s="4"/>
      <c r="Q14" s="4"/>
      <c r="S14" s="4"/>
      <c r="U14" s="5"/>
    </row>
    <row r="15" spans="1:21">
      <c r="A15" s="11"/>
      <c r="B15" s="11"/>
      <c r="C15" s="5">
        <v>0.12</v>
      </c>
      <c r="D15" s="5">
        <v>0.21</v>
      </c>
      <c r="E15" s="5">
        <v>0.17</v>
      </c>
      <c r="F15" s="5">
        <v>0.35</v>
      </c>
      <c r="G15" s="4"/>
      <c r="H15" s="4"/>
      <c r="I15" s="5">
        <v>0.19</v>
      </c>
      <c r="J15" s="5">
        <v>0.27</v>
      </c>
      <c r="K15" s="5">
        <v>0.05</v>
      </c>
      <c r="L15" s="5">
        <v>0</v>
      </c>
      <c r="M15" s="5">
        <v>0.21</v>
      </c>
      <c r="N15" s="5">
        <v>0.08</v>
      </c>
      <c r="O15" s="4"/>
      <c r="P15" s="4"/>
      <c r="Q15" s="4"/>
      <c r="S15" s="4"/>
      <c r="U15" s="5"/>
    </row>
    <row r="16" spans="1:21">
      <c r="A16" s="11"/>
      <c r="B16" s="11"/>
      <c r="C16" s="5">
        <v>0.18</v>
      </c>
      <c r="D16" s="5">
        <v>0.22</v>
      </c>
      <c r="E16" s="5">
        <v>0.16</v>
      </c>
      <c r="F16" s="5">
        <v>0.16</v>
      </c>
      <c r="G16" s="4"/>
      <c r="H16" s="4"/>
      <c r="I16" s="5">
        <v>0.1</v>
      </c>
      <c r="J16" s="5">
        <v>0.34</v>
      </c>
      <c r="K16" s="5">
        <v>0.12</v>
      </c>
      <c r="L16" s="5">
        <v>0.15</v>
      </c>
      <c r="M16" s="5">
        <v>0.2</v>
      </c>
      <c r="N16" s="5">
        <v>0.27</v>
      </c>
      <c r="O16" s="4"/>
      <c r="P16" s="4"/>
      <c r="Q16" s="4"/>
      <c r="S16" s="4"/>
      <c r="U16" s="5"/>
    </row>
    <row r="17" spans="1:21">
      <c r="A17" s="11"/>
      <c r="B17" s="11"/>
      <c r="C17" s="5">
        <v>0.23</v>
      </c>
      <c r="D17" s="5">
        <v>0.19</v>
      </c>
      <c r="E17" s="5">
        <v>0.17</v>
      </c>
      <c r="F17" s="5">
        <v>0.19</v>
      </c>
      <c r="G17" s="4"/>
      <c r="H17" s="4"/>
      <c r="I17" s="5">
        <v>0.16</v>
      </c>
      <c r="J17" s="5">
        <v>0.21</v>
      </c>
      <c r="K17" s="5">
        <v>0.14000000000000001</v>
      </c>
      <c r="L17" s="5">
        <v>0.16</v>
      </c>
      <c r="M17" s="5">
        <v>0.13</v>
      </c>
      <c r="N17" s="5">
        <v>0.22</v>
      </c>
      <c r="O17" s="4"/>
      <c r="P17" s="4"/>
      <c r="Q17" s="4"/>
      <c r="S17" s="4"/>
      <c r="U17" s="5"/>
    </row>
    <row r="18" spans="1:21">
      <c r="A18" s="11"/>
      <c r="B18" s="11"/>
      <c r="C18" s="5">
        <v>0.33</v>
      </c>
      <c r="D18" s="5">
        <v>0.13</v>
      </c>
      <c r="E18" s="5">
        <v>0.2</v>
      </c>
      <c r="F18" s="5">
        <v>0.28999999999999998</v>
      </c>
      <c r="G18" s="4"/>
      <c r="H18" s="4"/>
      <c r="I18" s="5">
        <v>0.18</v>
      </c>
      <c r="J18" s="5">
        <v>0.13</v>
      </c>
      <c r="K18" s="5">
        <v>0.19</v>
      </c>
      <c r="L18" s="5">
        <v>0.2</v>
      </c>
      <c r="M18" s="5">
        <v>0.1</v>
      </c>
      <c r="N18" s="5">
        <v>0.22</v>
      </c>
      <c r="O18" s="4"/>
      <c r="P18" s="4"/>
      <c r="Q18" s="4"/>
      <c r="S18" s="4"/>
      <c r="U18" s="5"/>
    </row>
    <row r="19" spans="1:21">
      <c r="A19" s="11"/>
      <c r="B19" s="11"/>
      <c r="C19" s="5">
        <v>0.13</v>
      </c>
      <c r="D19" s="5">
        <v>0.3</v>
      </c>
      <c r="E19" s="5">
        <v>0.38</v>
      </c>
      <c r="F19" s="5">
        <v>0.28000000000000003</v>
      </c>
      <c r="G19" s="4"/>
      <c r="H19" s="4"/>
      <c r="I19" s="5">
        <v>0.36</v>
      </c>
      <c r="J19" s="5">
        <v>0.15</v>
      </c>
      <c r="K19" s="5">
        <v>0.12</v>
      </c>
      <c r="L19" s="5">
        <v>0.15</v>
      </c>
      <c r="M19" s="5">
        <v>0.13</v>
      </c>
      <c r="N19" s="5">
        <v>0.14000000000000001</v>
      </c>
      <c r="O19" s="4"/>
      <c r="P19" s="4"/>
      <c r="Q19" s="4"/>
      <c r="S19" s="4"/>
      <c r="U19" s="5"/>
    </row>
    <row r="20" spans="1:21">
      <c r="A20" s="11"/>
      <c r="B20" s="11"/>
      <c r="C20" s="5">
        <v>0.09</v>
      </c>
      <c r="D20" s="5">
        <v>0.22</v>
      </c>
      <c r="E20" s="5">
        <v>0.17</v>
      </c>
      <c r="F20" s="5">
        <v>0.34</v>
      </c>
      <c r="G20" s="4"/>
      <c r="H20" s="4"/>
      <c r="I20" s="5">
        <v>0.2</v>
      </c>
      <c r="J20" s="5">
        <v>0.11</v>
      </c>
      <c r="K20" s="5">
        <v>0</v>
      </c>
      <c r="L20" s="15">
        <v>0.04</v>
      </c>
      <c r="M20" s="5">
        <v>0.2</v>
      </c>
      <c r="N20" s="5">
        <v>7.0000000000000007E-2</v>
      </c>
      <c r="O20" s="4"/>
      <c r="P20" s="4"/>
      <c r="Q20" s="4"/>
      <c r="S20" s="4"/>
      <c r="U20" s="5"/>
    </row>
    <row r="21" spans="1:21">
      <c r="A21" s="11"/>
      <c r="B21" s="11"/>
      <c r="C21" s="5">
        <v>0.11</v>
      </c>
      <c r="D21" s="5">
        <v>0.18</v>
      </c>
      <c r="E21" s="5">
        <v>0.14000000000000001</v>
      </c>
      <c r="F21" s="5">
        <v>0.14000000000000001</v>
      </c>
      <c r="G21" s="4"/>
      <c r="H21" s="4"/>
      <c r="I21" s="5">
        <v>0.1</v>
      </c>
      <c r="J21" s="5">
        <v>0.14000000000000001</v>
      </c>
      <c r="K21" s="5"/>
      <c r="L21" s="5"/>
      <c r="M21" s="5">
        <v>0.18</v>
      </c>
      <c r="N21" s="5">
        <v>0.22</v>
      </c>
      <c r="O21" s="4"/>
      <c r="P21" s="4"/>
      <c r="Q21" s="4"/>
      <c r="S21" s="4"/>
      <c r="U21" s="5"/>
    </row>
    <row r="22" spans="1:21">
      <c r="A22" s="11"/>
      <c r="B22" s="11"/>
      <c r="C22" s="5">
        <v>0.21</v>
      </c>
      <c r="D22" s="15">
        <v>0.28999999999999998</v>
      </c>
      <c r="E22" s="5">
        <v>0.39</v>
      </c>
      <c r="F22" s="5">
        <v>0.37</v>
      </c>
      <c r="G22" s="4"/>
      <c r="H22" s="4"/>
      <c r="I22" s="5">
        <v>0.22</v>
      </c>
      <c r="J22" s="5">
        <v>0.09</v>
      </c>
      <c r="K22" s="5"/>
      <c r="L22" s="5"/>
      <c r="M22" s="5">
        <v>0.27</v>
      </c>
      <c r="N22" s="5">
        <v>0.25</v>
      </c>
      <c r="O22" s="4"/>
      <c r="P22" s="4"/>
      <c r="Q22" s="4"/>
      <c r="S22" s="4"/>
      <c r="U22" s="5"/>
    </row>
    <row r="23" spans="1:21">
      <c r="A23" s="11"/>
      <c r="B23" s="11"/>
      <c r="C23" s="11"/>
      <c r="D23" s="11"/>
      <c r="E23" s="5">
        <v>0.15</v>
      </c>
      <c r="F23" s="5">
        <v>0.21</v>
      </c>
      <c r="G23" s="4"/>
      <c r="H23" s="4"/>
      <c r="I23" s="5">
        <v>7.0000000000000007E-2</v>
      </c>
      <c r="J23" s="5">
        <v>0.22</v>
      </c>
      <c r="K23" s="4"/>
      <c r="L23" s="4"/>
      <c r="M23" s="5">
        <v>0.11</v>
      </c>
      <c r="N23" s="5">
        <v>0.1</v>
      </c>
      <c r="O23" s="4"/>
      <c r="P23" s="4"/>
      <c r="Q23" s="4"/>
      <c r="S23" s="4"/>
      <c r="U23" s="5"/>
    </row>
    <row r="24" spans="1:21">
      <c r="A24" s="11"/>
      <c r="B24" s="11"/>
      <c r="C24" s="11"/>
      <c r="D24" s="11"/>
      <c r="E24" s="5">
        <v>0.17</v>
      </c>
      <c r="F24" s="5">
        <v>0.32</v>
      </c>
      <c r="G24" s="4"/>
      <c r="H24" s="4"/>
      <c r="I24" s="5">
        <v>0.24</v>
      </c>
      <c r="J24" s="5">
        <v>0.39</v>
      </c>
      <c r="K24" s="4"/>
      <c r="L24" s="4"/>
      <c r="M24" s="5">
        <v>0.02</v>
      </c>
      <c r="N24" s="5">
        <v>0.03</v>
      </c>
      <c r="O24" s="4"/>
      <c r="P24" s="4"/>
      <c r="Q24" s="4"/>
      <c r="S24" s="4"/>
      <c r="U24" s="5"/>
    </row>
    <row r="25" spans="1:21">
      <c r="A25" s="11"/>
      <c r="B25" s="11"/>
      <c r="C25" s="11"/>
      <c r="D25" s="11"/>
      <c r="E25" s="5">
        <v>0.24</v>
      </c>
      <c r="F25" s="5">
        <v>0.22</v>
      </c>
      <c r="G25" s="4"/>
      <c r="H25" s="4"/>
      <c r="I25" s="5">
        <v>0.25</v>
      </c>
      <c r="J25" s="5">
        <v>0.25</v>
      </c>
      <c r="K25" s="4"/>
      <c r="L25" s="4"/>
      <c r="M25" s="5">
        <v>0.1</v>
      </c>
      <c r="N25" s="5">
        <v>0.05</v>
      </c>
      <c r="O25" s="4"/>
      <c r="P25" s="4"/>
      <c r="Q25" s="4"/>
      <c r="S25" s="4"/>
      <c r="U25" s="5"/>
    </row>
    <row r="26" spans="1:21">
      <c r="A26" s="11"/>
      <c r="B26" s="11"/>
      <c r="C26" s="11"/>
      <c r="D26" s="11"/>
      <c r="E26" s="5">
        <v>0.18</v>
      </c>
      <c r="F26" s="5">
        <v>0.44</v>
      </c>
      <c r="G26" s="4"/>
      <c r="H26" s="4"/>
      <c r="I26" s="5">
        <v>0.15</v>
      </c>
      <c r="J26" s="5">
        <v>0.19</v>
      </c>
      <c r="K26" s="4"/>
      <c r="L26" s="4"/>
      <c r="M26" s="5">
        <v>0.14000000000000001</v>
      </c>
      <c r="N26" s="5">
        <v>0.02</v>
      </c>
      <c r="O26" s="4"/>
      <c r="P26" s="4"/>
      <c r="Q26" s="4"/>
      <c r="S26" s="4"/>
      <c r="U26" s="5"/>
    </row>
    <row r="27" spans="1:21">
      <c r="A27" s="11"/>
      <c r="B27" s="11"/>
      <c r="C27" s="11"/>
      <c r="D27" s="11"/>
      <c r="E27" s="5">
        <v>0.15</v>
      </c>
      <c r="F27" s="5">
        <v>0.19</v>
      </c>
      <c r="G27" s="4"/>
      <c r="H27" s="4"/>
      <c r="I27" s="5">
        <v>0.09</v>
      </c>
      <c r="J27" s="5">
        <v>0.28999999999999998</v>
      </c>
      <c r="K27" s="4"/>
      <c r="L27" s="4"/>
      <c r="M27" s="5">
        <v>0.08</v>
      </c>
      <c r="N27" s="5">
        <v>0.05</v>
      </c>
      <c r="O27" s="4"/>
      <c r="P27" s="4"/>
      <c r="Q27" s="4"/>
      <c r="S27" s="4"/>
      <c r="U27" s="5"/>
    </row>
    <row r="28" spans="1:21">
      <c r="A28" s="11"/>
      <c r="B28" s="11"/>
      <c r="C28" s="11"/>
      <c r="D28" s="11"/>
      <c r="E28" s="5">
        <v>0.27</v>
      </c>
      <c r="F28" s="5">
        <v>0.32</v>
      </c>
      <c r="G28" s="4"/>
      <c r="H28" s="4"/>
      <c r="I28" s="5">
        <v>0.37</v>
      </c>
      <c r="J28" s="5">
        <v>0.35</v>
      </c>
      <c r="K28" s="4"/>
      <c r="L28" s="4"/>
      <c r="M28" s="5">
        <v>0.19</v>
      </c>
      <c r="N28" s="5">
        <v>0.09</v>
      </c>
      <c r="O28" s="4"/>
      <c r="P28" s="4"/>
      <c r="Q28" s="4"/>
      <c r="S28" s="4"/>
      <c r="U28" s="5"/>
    </row>
    <row r="29" spans="1:21">
      <c r="A29" s="11"/>
      <c r="B29" s="11"/>
      <c r="C29" s="11"/>
      <c r="D29" s="11"/>
      <c r="E29" s="5">
        <v>0.28000000000000003</v>
      </c>
      <c r="F29" s="5">
        <v>0.36</v>
      </c>
      <c r="G29" s="4"/>
      <c r="H29" s="4"/>
      <c r="I29" s="5">
        <v>0.08</v>
      </c>
      <c r="J29" s="5">
        <v>0.19</v>
      </c>
      <c r="K29" s="4"/>
      <c r="L29" s="4"/>
      <c r="M29" s="5">
        <v>0.16</v>
      </c>
      <c r="N29" s="15">
        <v>0.08</v>
      </c>
      <c r="S29" s="4"/>
      <c r="U29" s="5"/>
    </row>
    <row r="30" spans="1:21">
      <c r="A30" s="11"/>
      <c r="B30" s="11"/>
      <c r="C30" s="11"/>
      <c r="D30" s="11"/>
      <c r="E30" s="5">
        <v>0.12</v>
      </c>
      <c r="F30" s="5">
        <v>0.17</v>
      </c>
      <c r="G30" s="4"/>
      <c r="H30" s="4"/>
      <c r="I30" s="5">
        <v>0.05</v>
      </c>
      <c r="J30" s="5">
        <v>0.17</v>
      </c>
      <c r="K30" s="4"/>
      <c r="L30" s="4"/>
      <c r="M30" s="5"/>
      <c r="N30" s="5"/>
      <c r="O30" s="4"/>
      <c r="P30" s="4"/>
      <c r="S30" s="4"/>
      <c r="U30" s="5"/>
    </row>
    <row r="31" spans="1:21">
      <c r="A31" s="11"/>
      <c r="B31" s="11"/>
      <c r="C31" s="11"/>
      <c r="D31" s="11"/>
      <c r="E31" s="5">
        <v>0.12</v>
      </c>
      <c r="F31" s="5">
        <v>0.22</v>
      </c>
      <c r="G31" s="4"/>
      <c r="H31" s="4"/>
      <c r="I31" s="5">
        <v>0.15</v>
      </c>
      <c r="J31" s="5">
        <v>0.26</v>
      </c>
      <c r="K31" s="4"/>
      <c r="L31" s="4"/>
      <c r="M31" s="5"/>
      <c r="N31" s="5"/>
      <c r="O31" s="4"/>
      <c r="P31" s="4"/>
      <c r="S31" s="4"/>
      <c r="U31" s="5"/>
    </row>
    <row r="32" spans="1:21">
      <c r="A32" s="11"/>
      <c r="B32" s="11"/>
      <c r="C32" s="11"/>
      <c r="D32" s="11"/>
      <c r="E32" s="5">
        <v>0.2</v>
      </c>
      <c r="F32" s="5">
        <v>0.19</v>
      </c>
      <c r="G32" s="4"/>
      <c r="H32" s="4"/>
      <c r="I32" s="5">
        <v>0.16</v>
      </c>
      <c r="J32" s="5">
        <v>0.16</v>
      </c>
      <c r="K32" s="4"/>
      <c r="L32" s="4"/>
      <c r="M32" s="5"/>
      <c r="N32" s="5"/>
      <c r="O32" s="4"/>
      <c r="P32" s="4"/>
      <c r="S32" s="4"/>
      <c r="U32" s="5"/>
    </row>
    <row r="33" spans="1:21">
      <c r="A33" s="11"/>
      <c r="B33" s="11"/>
      <c r="C33" s="11"/>
      <c r="D33" s="11"/>
      <c r="E33" s="5">
        <v>0.1</v>
      </c>
      <c r="F33" s="5">
        <v>0.25</v>
      </c>
      <c r="G33" s="4"/>
      <c r="H33" s="4"/>
      <c r="I33" s="5">
        <v>0.1</v>
      </c>
      <c r="J33" s="5">
        <v>0.13</v>
      </c>
      <c r="K33" s="4"/>
      <c r="L33" s="4"/>
      <c r="M33" s="5"/>
      <c r="N33" s="5"/>
      <c r="O33" s="4"/>
      <c r="P33" s="4"/>
      <c r="S33" s="4"/>
      <c r="U33" s="5"/>
    </row>
    <row r="34" spans="1:21">
      <c r="A34" s="11"/>
      <c r="B34" s="11"/>
      <c r="C34" s="11"/>
      <c r="D34" s="11"/>
      <c r="E34" s="5">
        <v>0.14000000000000001</v>
      </c>
      <c r="F34" s="5">
        <v>0.17</v>
      </c>
      <c r="G34" s="4"/>
      <c r="H34" s="4"/>
      <c r="I34" s="5">
        <v>7.0000000000000007E-2</v>
      </c>
      <c r="J34" s="5">
        <v>0.25</v>
      </c>
      <c r="K34" s="4"/>
      <c r="L34" s="4"/>
      <c r="M34" s="5"/>
      <c r="N34" s="5"/>
      <c r="O34" s="4"/>
      <c r="P34" s="4"/>
      <c r="S34" s="4"/>
      <c r="U34" s="5"/>
    </row>
    <row r="35" spans="1:21">
      <c r="A35" s="11"/>
      <c r="B35" s="11"/>
      <c r="C35" s="11"/>
      <c r="D35" s="11"/>
      <c r="E35" s="5">
        <v>0.17</v>
      </c>
      <c r="F35" s="5">
        <v>0.21</v>
      </c>
      <c r="G35" s="4"/>
      <c r="H35" s="4"/>
      <c r="I35" s="5">
        <v>0.27</v>
      </c>
      <c r="J35" s="5">
        <v>0.26</v>
      </c>
      <c r="K35" s="4"/>
      <c r="L35" s="4"/>
      <c r="M35" s="5"/>
      <c r="N35" s="5"/>
      <c r="O35" s="4"/>
      <c r="P35" s="4"/>
      <c r="S35" s="4"/>
      <c r="U35" s="5"/>
    </row>
    <row r="36" spans="1:21">
      <c r="A36" s="11"/>
      <c r="B36" s="11"/>
      <c r="C36" s="11"/>
      <c r="D36" s="11"/>
      <c r="E36" s="5">
        <v>0.17</v>
      </c>
      <c r="F36" s="5">
        <v>0.21</v>
      </c>
      <c r="G36" s="4"/>
      <c r="H36" s="4"/>
      <c r="I36" s="5">
        <v>0.06</v>
      </c>
      <c r="J36" s="5">
        <v>0.14000000000000001</v>
      </c>
      <c r="K36" s="4"/>
      <c r="L36" s="4"/>
      <c r="M36" s="5"/>
      <c r="N36" s="5"/>
      <c r="O36" s="4"/>
      <c r="P36" s="4"/>
      <c r="S36" s="4"/>
      <c r="U36" s="5"/>
    </row>
    <row r="37" spans="1:21">
      <c r="A37" s="11"/>
      <c r="B37" s="11"/>
      <c r="C37" s="11"/>
      <c r="D37" s="11"/>
      <c r="E37" s="5">
        <v>0.22</v>
      </c>
      <c r="F37" s="15">
        <v>0.22</v>
      </c>
      <c r="I37" s="5">
        <v>0.41</v>
      </c>
      <c r="J37" s="5">
        <v>0.42</v>
      </c>
      <c r="K37" s="4"/>
      <c r="L37" s="4"/>
      <c r="M37" s="5"/>
      <c r="N37" s="5"/>
      <c r="O37" s="4"/>
      <c r="P37" s="4"/>
      <c r="S37" s="4"/>
      <c r="U37" s="5"/>
    </row>
    <row r="38" spans="1:21">
      <c r="A38" s="11"/>
      <c r="B38" s="11"/>
      <c r="C38" s="11"/>
      <c r="D38" s="11"/>
      <c r="E38" s="5"/>
      <c r="F38" s="5"/>
      <c r="G38" s="4"/>
      <c r="H38" s="4"/>
      <c r="I38" s="5">
        <v>0.03</v>
      </c>
      <c r="J38" s="5">
        <v>0.15</v>
      </c>
      <c r="K38" s="4"/>
      <c r="L38" s="4"/>
      <c r="M38" s="4"/>
      <c r="N38" s="11"/>
      <c r="O38" s="4"/>
      <c r="P38" s="4"/>
      <c r="S38" s="4"/>
      <c r="U38" s="11"/>
    </row>
    <row r="39" spans="1:21">
      <c r="A39" s="11"/>
      <c r="B39" s="11"/>
      <c r="C39" s="11"/>
      <c r="D39" s="11"/>
      <c r="E39" s="5"/>
      <c r="F39" s="5"/>
      <c r="G39" s="4"/>
      <c r="H39" s="4"/>
      <c r="I39" s="5">
        <v>0.08</v>
      </c>
      <c r="J39" s="5">
        <v>0.22</v>
      </c>
      <c r="K39" s="4"/>
      <c r="L39" s="4"/>
      <c r="M39" s="4"/>
      <c r="N39" s="11"/>
      <c r="O39" s="4"/>
      <c r="P39" s="4"/>
      <c r="S39" s="11"/>
    </row>
    <row r="40" spans="1:21">
      <c r="A40" s="11"/>
      <c r="B40" s="11"/>
      <c r="C40" s="11"/>
      <c r="D40" s="11"/>
      <c r="E40" s="5"/>
      <c r="F40" s="5"/>
      <c r="G40" s="4"/>
      <c r="H40" s="4"/>
      <c r="I40" s="5">
        <v>0.11</v>
      </c>
      <c r="J40" s="5">
        <v>0.19</v>
      </c>
      <c r="K40" s="4"/>
      <c r="L40" s="4"/>
      <c r="M40" s="4"/>
      <c r="N40" s="11"/>
      <c r="O40" s="4"/>
      <c r="P40" s="4"/>
      <c r="S40" s="11"/>
    </row>
    <row r="41" spans="1:21">
      <c r="A41" s="11"/>
      <c r="B41" s="11"/>
      <c r="C41" s="11"/>
      <c r="D41" s="11"/>
      <c r="E41" s="5"/>
      <c r="F41" s="5"/>
      <c r="G41" s="4"/>
      <c r="H41" s="4"/>
      <c r="I41" s="5">
        <v>0.06</v>
      </c>
      <c r="J41" s="5">
        <v>0.14000000000000001</v>
      </c>
      <c r="K41" s="4"/>
      <c r="L41" s="4"/>
      <c r="M41" s="4"/>
      <c r="N41" s="11"/>
      <c r="O41" s="4"/>
      <c r="P41" s="4"/>
      <c r="S41" s="11"/>
    </row>
    <row r="42" spans="1:21">
      <c r="A42" s="11"/>
      <c r="B42" s="11"/>
      <c r="C42" s="11"/>
      <c r="D42" s="11"/>
      <c r="E42" s="5"/>
      <c r="F42" s="5"/>
      <c r="G42" s="4"/>
      <c r="H42" s="4"/>
      <c r="I42" s="5">
        <v>0.06</v>
      </c>
      <c r="J42" s="5">
        <v>0.31</v>
      </c>
      <c r="K42" s="4"/>
      <c r="L42" s="4"/>
      <c r="M42" s="4"/>
      <c r="N42" s="11"/>
      <c r="O42" s="4"/>
      <c r="P42" s="4"/>
      <c r="S42" s="11"/>
    </row>
    <row r="43" spans="1:21">
      <c r="A43" s="11"/>
      <c r="B43" s="11"/>
      <c r="C43" s="11"/>
      <c r="D43" s="11"/>
      <c r="E43" s="5"/>
      <c r="F43" s="5"/>
      <c r="G43" s="4"/>
      <c r="H43" s="4"/>
      <c r="I43" s="5">
        <v>0.22</v>
      </c>
      <c r="J43" s="5">
        <v>0.34</v>
      </c>
      <c r="K43" s="4"/>
      <c r="L43" s="4"/>
      <c r="M43" s="4"/>
      <c r="N43" s="11"/>
      <c r="O43" s="4"/>
      <c r="P43" s="4"/>
      <c r="S43" s="11"/>
    </row>
    <row r="44" spans="1:21">
      <c r="A44" s="11"/>
      <c r="B44" s="11"/>
      <c r="C44" s="11"/>
      <c r="D44" s="11"/>
      <c r="E44" s="5"/>
      <c r="F44" s="5"/>
      <c r="G44" s="4"/>
      <c r="H44" s="4"/>
      <c r="I44" s="5">
        <v>0.03</v>
      </c>
      <c r="J44" s="5">
        <v>0.11</v>
      </c>
      <c r="K44" s="4"/>
      <c r="L44" s="4"/>
      <c r="M44" s="4"/>
      <c r="N44" s="11"/>
      <c r="O44" s="4"/>
      <c r="P44" s="4"/>
      <c r="S44" s="11"/>
      <c r="U44" s="11"/>
    </row>
    <row r="45" spans="1:21">
      <c r="A45" s="11"/>
      <c r="B45" s="11"/>
      <c r="C45" s="11"/>
      <c r="D45" s="11"/>
      <c r="E45" s="5"/>
      <c r="F45" s="5"/>
      <c r="G45" s="4"/>
      <c r="H45" s="4"/>
      <c r="I45" s="5">
        <v>0.27</v>
      </c>
      <c r="J45" s="5">
        <v>0.44</v>
      </c>
      <c r="K45" s="4"/>
      <c r="L45" s="4"/>
      <c r="M45" s="4"/>
      <c r="N45" s="11"/>
      <c r="O45" s="4"/>
      <c r="P45" s="4"/>
      <c r="S45" s="11"/>
      <c r="U45" s="11"/>
    </row>
    <row r="46" spans="1:21">
      <c r="A46" s="11"/>
      <c r="B46" s="11"/>
      <c r="C46" s="11"/>
      <c r="D46" s="11"/>
      <c r="E46" s="5"/>
      <c r="F46" s="15"/>
      <c r="G46" s="4"/>
      <c r="H46" s="4"/>
      <c r="I46" s="5">
        <v>0.19</v>
      </c>
      <c r="J46" s="5">
        <v>0.28999999999999998</v>
      </c>
      <c r="K46" s="4"/>
      <c r="L46" s="4"/>
      <c r="M46" s="4"/>
      <c r="N46" s="11"/>
      <c r="O46" s="4"/>
      <c r="P46" s="4"/>
      <c r="S46" s="11"/>
      <c r="U46" s="11"/>
    </row>
    <row r="47" spans="1:21">
      <c r="A47" s="11"/>
      <c r="B47" s="11"/>
      <c r="C47" s="11"/>
      <c r="D47" s="11"/>
      <c r="I47" s="5">
        <v>0.06</v>
      </c>
      <c r="J47" s="5">
        <v>0.21</v>
      </c>
      <c r="K47" s="4"/>
      <c r="L47" s="4"/>
      <c r="M47" s="4"/>
      <c r="N47" s="11"/>
      <c r="O47" s="4"/>
      <c r="P47" s="4"/>
      <c r="S47" s="11"/>
      <c r="U47" s="11"/>
    </row>
    <row r="48" spans="1:21">
      <c r="A48" s="11"/>
      <c r="B48" s="11"/>
      <c r="C48" s="11"/>
      <c r="D48" s="11"/>
      <c r="I48" s="5">
        <v>0.18</v>
      </c>
      <c r="J48" s="5">
        <v>0.31</v>
      </c>
      <c r="K48" s="4"/>
      <c r="L48" s="4"/>
      <c r="M48" s="4"/>
      <c r="N48" s="11"/>
      <c r="O48" s="4"/>
      <c r="P48" s="4"/>
      <c r="S48" s="11"/>
      <c r="U48" s="11"/>
    </row>
    <row r="49" spans="1:21">
      <c r="A49" s="11"/>
      <c r="B49" s="11"/>
      <c r="C49" s="11"/>
      <c r="D49" s="11"/>
      <c r="I49" s="5">
        <v>0.17</v>
      </c>
      <c r="J49" s="5">
        <v>0.18</v>
      </c>
      <c r="K49" s="4"/>
      <c r="L49" s="4"/>
      <c r="M49" s="4"/>
      <c r="N49" s="11"/>
      <c r="O49" s="4"/>
      <c r="P49" s="4"/>
      <c r="S49" s="11"/>
      <c r="U49" s="11"/>
    </row>
    <row r="50" spans="1:21">
      <c r="A50" s="11"/>
      <c r="B50" s="11"/>
      <c r="C50" s="11"/>
      <c r="D50" s="11"/>
      <c r="I50" s="5">
        <v>0.11</v>
      </c>
      <c r="J50" s="5">
        <v>0.16</v>
      </c>
      <c r="K50" s="4"/>
      <c r="L50" s="4"/>
      <c r="M50" s="4"/>
      <c r="N50" s="11"/>
      <c r="O50" s="4"/>
      <c r="P50" s="4"/>
      <c r="S50" s="11"/>
      <c r="U50" s="11"/>
    </row>
    <row r="51" spans="1:21">
      <c r="A51" s="11"/>
      <c r="B51" s="11"/>
      <c r="C51" s="11"/>
      <c r="D51" s="11"/>
      <c r="I51" s="5">
        <v>7.0000000000000007E-2</v>
      </c>
      <c r="J51" s="5">
        <v>0.24</v>
      </c>
      <c r="K51" s="4"/>
      <c r="L51" s="4"/>
      <c r="M51" s="4"/>
      <c r="N51" s="11"/>
      <c r="O51" s="4"/>
      <c r="P51" s="4"/>
      <c r="S51" s="11"/>
      <c r="U51" s="11"/>
    </row>
    <row r="52" spans="1:21">
      <c r="A52" s="11"/>
      <c r="B52" s="11"/>
      <c r="C52" s="11"/>
      <c r="D52" s="11"/>
      <c r="I52" s="5">
        <v>0.28999999999999998</v>
      </c>
      <c r="J52" s="5">
        <v>0.28000000000000003</v>
      </c>
      <c r="K52" s="4"/>
      <c r="L52" s="4"/>
      <c r="M52" s="4"/>
      <c r="N52" s="11"/>
      <c r="O52" s="4"/>
      <c r="P52" s="4"/>
      <c r="S52" s="11"/>
      <c r="U52" s="11"/>
    </row>
    <row r="53" spans="1:21">
      <c r="A53" s="11"/>
      <c r="B53" s="11"/>
      <c r="C53" s="11"/>
      <c r="D53" s="11"/>
      <c r="I53" s="5">
        <v>0.06</v>
      </c>
      <c r="J53" s="5">
        <v>0.14000000000000001</v>
      </c>
      <c r="K53" s="4"/>
      <c r="L53" s="4"/>
      <c r="M53" s="4"/>
      <c r="N53" s="11"/>
      <c r="O53" s="4"/>
      <c r="P53" s="4"/>
      <c r="S53" s="11"/>
      <c r="U53" s="11"/>
    </row>
    <row r="54" spans="1:21">
      <c r="A54" s="11"/>
      <c r="B54" s="11"/>
      <c r="C54" s="11"/>
      <c r="D54" s="11"/>
      <c r="I54" s="5">
        <v>0.46</v>
      </c>
      <c r="J54" s="5">
        <v>0.47</v>
      </c>
      <c r="K54" s="4"/>
      <c r="L54" s="4"/>
      <c r="M54" s="4"/>
      <c r="N54" s="11"/>
      <c r="O54" s="4"/>
      <c r="P54" s="4"/>
      <c r="S54" s="11"/>
      <c r="U54" s="11"/>
    </row>
    <row r="55" spans="1:21">
      <c r="A55" s="11"/>
      <c r="B55" s="11"/>
      <c r="C55" s="11"/>
      <c r="D55" s="11"/>
      <c r="I55" s="5">
        <v>0.56999999999999995</v>
      </c>
      <c r="J55" s="5">
        <v>0.56999999999999995</v>
      </c>
      <c r="K55" s="4"/>
      <c r="L55" s="4"/>
      <c r="M55" s="4"/>
      <c r="N55" s="11"/>
      <c r="O55" s="4"/>
      <c r="P55" s="4"/>
      <c r="S55" s="11"/>
      <c r="U55" s="11"/>
    </row>
    <row r="56" spans="1:21">
      <c r="A56" s="11"/>
      <c r="B56" s="11"/>
      <c r="C56" s="11"/>
      <c r="D56" s="11"/>
      <c r="I56" s="5">
        <v>0.3</v>
      </c>
      <c r="J56" s="5">
        <v>0.19</v>
      </c>
      <c r="K56" s="4"/>
      <c r="L56" s="4"/>
      <c r="M56" s="4"/>
      <c r="N56" s="11"/>
      <c r="O56" s="4"/>
      <c r="P56" s="4"/>
      <c r="S56" s="11"/>
      <c r="U56" s="11"/>
    </row>
    <row r="57" spans="1:21">
      <c r="A57" s="11"/>
      <c r="B57" s="11"/>
      <c r="C57" s="11"/>
      <c r="D57" s="11"/>
      <c r="I57" s="5">
        <v>0.1</v>
      </c>
      <c r="J57" s="5">
        <v>0.27</v>
      </c>
      <c r="K57" s="4"/>
      <c r="L57" s="4"/>
      <c r="M57" s="4"/>
      <c r="N57" s="11"/>
      <c r="O57" s="4"/>
      <c r="P57" s="4"/>
      <c r="S57" s="11"/>
      <c r="U57" s="11"/>
    </row>
    <row r="58" spans="1:21">
      <c r="A58" s="11"/>
      <c r="B58" s="11"/>
      <c r="C58" s="11"/>
      <c r="D58" s="11"/>
      <c r="I58" s="5">
        <v>0.19</v>
      </c>
      <c r="J58" s="5">
        <v>0.27</v>
      </c>
      <c r="K58" s="4"/>
      <c r="L58" s="4"/>
      <c r="M58" s="4"/>
      <c r="N58" s="11"/>
      <c r="O58" s="4"/>
      <c r="P58" s="4"/>
      <c r="S58" s="11"/>
      <c r="U58" s="11"/>
    </row>
    <row r="59" spans="1:21">
      <c r="A59" s="11"/>
      <c r="B59" s="11"/>
      <c r="C59" s="11"/>
      <c r="D59" s="11"/>
      <c r="I59" s="5">
        <v>0.39</v>
      </c>
      <c r="J59" s="5">
        <v>0.32</v>
      </c>
      <c r="K59" s="4"/>
      <c r="L59" s="4"/>
      <c r="M59" s="4"/>
      <c r="N59" s="11"/>
      <c r="O59" s="4"/>
      <c r="P59" s="4"/>
      <c r="S59" s="11"/>
      <c r="U59" s="11"/>
    </row>
    <row r="60" spans="1:21">
      <c r="A60" s="11"/>
      <c r="B60" s="11"/>
      <c r="C60" s="11"/>
      <c r="D60" s="11"/>
      <c r="I60" s="5">
        <v>0.2</v>
      </c>
      <c r="J60" s="5">
        <v>0.22</v>
      </c>
      <c r="K60" s="4"/>
      <c r="L60" s="4"/>
      <c r="M60" s="4"/>
      <c r="N60" s="11"/>
      <c r="O60" s="4"/>
      <c r="P60" s="4"/>
      <c r="S60" s="11"/>
      <c r="U60" s="11"/>
    </row>
    <row r="61" spans="1:21">
      <c r="A61" s="11"/>
      <c r="B61" s="11"/>
      <c r="C61" s="11"/>
      <c r="D61" s="11"/>
      <c r="I61" s="5">
        <v>0.1</v>
      </c>
      <c r="J61" s="5">
        <v>0.26</v>
      </c>
      <c r="K61" s="4"/>
      <c r="L61" s="4"/>
      <c r="M61" s="4"/>
      <c r="N61" s="11"/>
      <c r="O61" s="4"/>
      <c r="P61" s="4"/>
      <c r="S61" s="11"/>
      <c r="U61" s="11"/>
    </row>
    <row r="62" spans="1:21">
      <c r="A62" s="11"/>
      <c r="B62" s="11"/>
      <c r="C62" s="11"/>
      <c r="D62" s="11"/>
      <c r="I62" s="5">
        <v>0.27</v>
      </c>
      <c r="J62" s="5">
        <v>0.22</v>
      </c>
      <c r="K62" s="4"/>
      <c r="L62" s="4"/>
      <c r="S62" s="11"/>
      <c r="U62" s="11"/>
    </row>
    <row r="63" spans="1:21">
      <c r="A63" s="11"/>
      <c r="B63" s="11"/>
      <c r="C63" s="11"/>
      <c r="D63" s="11"/>
      <c r="I63" s="5">
        <v>0.16</v>
      </c>
      <c r="J63" s="5">
        <v>0.3</v>
      </c>
      <c r="K63" s="4"/>
      <c r="L63" s="4"/>
      <c r="S63" s="11"/>
      <c r="U63" s="11"/>
    </row>
    <row r="64" spans="1:21">
      <c r="A64" s="11"/>
      <c r="B64" s="11"/>
      <c r="C64" s="11"/>
      <c r="D64" s="11"/>
      <c r="I64" s="5">
        <v>0.27</v>
      </c>
      <c r="J64" s="5">
        <v>0.23</v>
      </c>
      <c r="K64" s="4"/>
      <c r="L64" s="4"/>
      <c r="S64" s="11"/>
      <c r="U64" s="11"/>
    </row>
    <row r="65" spans="1:21">
      <c r="A65" s="11"/>
      <c r="B65" s="11"/>
      <c r="C65" s="11"/>
      <c r="D65" s="11"/>
      <c r="I65" s="5">
        <v>0.2</v>
      </c>
      <c r="J65" s="5">
        <v>0.16</v>
      </c>
      <c r="K65" s="4"/>
      <c r="L65" s="4"/>
      <c r="S65" s="11"/>
      <c r="U65" s="11"/>
    </row>
    <row r="66" spans="1:21">
      <c r="A66" s="11"/>
      <c r="B66" s="11"/>
      <c r="C66" s="11"/>
      <c r="D66" s="11"/>
      <c r="I66" s="5">
        <v>0.15</v>
      </c>
      <c r="J66" s="5">
        <v>0.08</v>
      </c>
      <c r="K66" s="4"/>
      <c r="L66" s="4"/>
      <c r="S66" s="11"/>
      <c r="U66" s="11"/>
    </row>
    <row r="67" spans="1:21">
      <c r="A67" s="11"/>
      <c r="B67" s="11"/>
      <c r="C67" s="11"/>
      <c r="D67" s="11"/>
      <c r="I67" s="5">
        <v>0.2</v>
      </c>
      <c r="J67" s="5">
        <v>0.17</v>
      </c>
      <c r="K67" s="4"/>
      <c r="L67" s="4"/>
      <c r="S67" s="11"/>
      <c r="U67" s="11"/>
    </row>
    <row r="68" spans="1:21">
      <c r="A68" s="11"/>
      <c r="B68" s="11"/>
      <c r="C68" s="11"/>
      <c r="D68" s="11"/>
      <c r="I68" s="5">
        <v>0.03</v>
      </c>
      <c r="J68" s="5">
        <v>0.25</v>
      </c>
      <c r="K68" s="4"/>
      <c r="L68" s="4"/>
      <c r="S68" s="11"/>
      <c r="U68" s="11"/>
    </row>
    <row r="69" spans="1:21">
      <c r="A69" s="11"/>
      <c r="B69" s="11"/>
      <c r="C69" s="11"/>
      <c r="D69" s="11"/>
      <c r="I69" s="5">
        <v>0.06</v>
      </c>
      <c r="J69" s="5">
        <v>0.25</v>
      </c>
      <c r="K69" s="4"/>
      <c r="L69" s="4"/>
      <c r="S69" s="11"/>
      <c r="U69" s="11"/>
    </row>
    <row r="70" spans="1:21">
      <c r="A70" s="11"/>
      <c r="B70" s="11"/>
      <c r="C70" s="11"/>
      <c r="D70" s="11"/>
      <c r="I70" s="5">
        <v>7.0000000000000007E-2</v>
      </c>
      <c r="J70" s="5">
        <v>0.18</v>
      </c>
      <c r="K70" s="4"/>
      <c r="L70" s="4"/>
      <c r="S70" s="11"/>
      <c r="U70" s="11"/>
    </row>
    <row r="71" spans="1:21">
      <c r="A71" s="11"/>
      <c r="B71" s="11"/>
      <c r="C71" s="11"/>
      <c r="D71" s="11"/>
      <c r="I71" s="5">
        <v>0.06</v>
      </c>
      <c r="J71" s="5">
        <v>0.2</v>
      </c>
      <c r="K71" s="4"/>
      <c r="L71" s="4"/>
      <c r="S71" s="11"/>
      <c r="U71" s="11"/>
    </row>
    <row r="72" spans="1:21">
      <c r="A72" s="11"/>
      <c r="B72" s="11"/>
      <c r="C72" s="11"/>
      <c r="D72" s="11"/>
      <c r="I72" s="5">
        <v>0.02</v>
      </c>
      <c r="J72" s="5">
        <v>0.16</v>
      </c>
      <c r="K72" s="4"/>
      <c r="L72" s="4"/>
      <c r="S72" s="11"/>
      <c r="U72" s="11"/>
    </row>
    <row r="73" spans="1:21">
      <c r="A73" s="11"/>
      <c r="B73" s="11"/>
      <c r="C73" s="11"/>
      <c r="D73" s="11"/>
      <c r="I73" s="5">
        <v>0.08</v>
      </c>
      <c r="J73" s="5">
        <v>0.18</v>
      </c>
      <c r="K73" s="4"/>
      <c r="L73" s="4"/>
      <c r="S73" s="11"/>
      <c r="U73" s="11"/>
    </row>
    <row r="74" spans="1:21">
      <c r="A74" s="11"/>
      <c r="B74" s="11"/>
      <c r="C74" s="11"/>
      <c r="D74" s="11"/>
      <c r="I74" s="5">
        <v>0.02</v>
      </c>
      <c r="J74" s="5">
        <v>0.16</v>
      </c>
      <c r="K74" s="4"/>
      <c r="L74" s="4"/>
      <c r="S74" s="11"/>
      <c r="U74" s="11"/>
    </row>
    <row r="75" spans="1:21">
      <c r="A75" s="11"/>
      <c r="B75" s="11"/>
      <c r="C75" s="11"/>
      <c r="D75" s="11"/>
      <c r="I75" s="5">
        <v>0.09</v>
      </c>
      <c r="J75" s="5">
        <v>0.21</v>
      </c>
      <c r="K75" s="4"/>
      <c r="L75" s="4"/>
      <c r="S75" s="11"/>
      <c r="U75" s="11"/>
    </row>
    <row r="76" spans="1:21">
      <c r="A76" s="11"/>
      <c r="B76" s="11"/>
      <c r="C76" s="11"/>
      <c r="D76" s="11"/>
      <c r="I76" s="5">
        <v>7.0000000000000007E-2</v>
      </c>
      <c r="J76" s="5">
        <v>0.17</v>
      </c>
      <c r="K76" s="4"/>
      <c r="L76" s="4"/>
      <c r="S76" s="11"/>
      <c r="U76" s="11"/>
    </row>
    <row r="77" spans="1:21">
      <c r="A77" s="11"/>
      <c r="B77" s="11"/>
      <c r="C77" s="11"/>
      <c r="D77" s="11"/>
      <c r="I77" s="5">
        <v>0.1</v>
      </c>
      <c r="J77" s="5">
        <v>0.15</v>
      </c>
      <c r="K77" s="4"/>
      <c r="L77" s="4"/>
      <c r="S77" s="11"/>
      <c r="U77" s="11"/>
    </row>
    <row r="78" spans="1:21">
      <c r="A78" s="11"/>
      <c r="B78" s="11"/>
      <c r="C78" s="11"/>
      <c r="D78" s="11"/>
      <c r="I78" s="5">
        <v>0.09</v>
      </c>
      <c r="J78" s="5">
        <v>0.21</v>
      </c>
      <c r="K78" s="4"/>
      <c r="L78" s="4"/>
      <c r="S78" s="11"/>
      <c r="U78" s="11"/>
    </row>
    <row r="79" spans="1:21">
      <c r="A79" s="11"/>
      <c r="B79" s="11"/>
      <c r="C79" s="11"/>
      <c r="D79" s="11"/>
      <c r="I79" s="5">
        <v>7.0000000000000007E-2</v>
      </c>
      <c r="J79" s="5">
        <v>0.22</v>
      </c>
      <c r="K79" s="4"/>
      <c r="L79" s="4"/>
      <c r="S79" s="11"/>
      <c r="U79" s="11"/>
    </row>
    <row r="80" spans="1:21">
      <c r="A80" s="11"/>
      <c r="B80" s="11"/>
      <c r="C80" s="11"/>
      <c r="D80" s="11"/>
      <c r="I80" s="5">
        <v>0.11</v>
      </c>
      <c r="J80" s="5">
        <v>0.16</v>
      </c>
      <c r="K80" s="4"/>
      <c r="L80" s="4"/>
      <c r="S80" s="11"/>
      <c r="U80" s="11"/>
    </row>
    <row r="81" spans="1:21">
      <c r="A81" s="11"/>
      <c r="B81" s="11"/>
      <c r="C81" s="11"/>
      <c r="D81" s="11"/>
      <c r="I81" s="5">
        <v>0.12</v>
      </c>
      <c r="J81" s="5">
        <v>0.1</v>
      </c>
      <c r="K81" s="4"/>
      <c r="L81" s="4"/>
      <c r="S81" s="11"/>
      <c r="U81" s="11"/>
    </row>
    <row r="82" spans="1:21">
      <c r="A82" s="11"/>
      <c r="B82" s="11"/>
      <c r="C82" s="11"/>
      <c r="D82" s="11"/>
      <c r="I82" s="5">
        <v>0.23</v>
      </c>
      <c r="J82" s="5">
        <v>0.11</v>
      </c>
      <c r="K82" s="4"/>
      <c r="L82" s="4"/>
      <c r="S82" s="11"/>
      <c r="U82" s="11"/>
    </row>
    <row r="83" spans="1:21">
      <c r="A83" s="11"/>
      <c r="B83" s="11"/>
      <c r="C83" s="11"/>
      <c r="D83" s="11"/>
      <c r="I83" s="5">
        <v>0.19</v>
      </c>
      <c r="J83" s="5">
        <v>0.12</v>
      </c>
      <c r="K83" s="4"/>
      <c r="L83" s="4"/>
      <c r="S83" s="11"/>
      <c r="U83" s="11"/>
    </row>
    <row r="84" spans="1:21">
      <c r="A84" s="11"/>
      <c r="B84" s="11"/>
      <c r="C84" s="11"/>
      <c r="D84" s="11"/>
      <c r="I84" s="5">
        <v>0.05</v>
      </c>
      <c r="J84" s="5">
        <v>0.08</v>
      </c>
      <c r="K84" s="4"/>
      <c r="L84" s="4"/>
      <c r="S84" s="11"/>
      <c r="U84" s="11"/>
    </row>
    <row r="85" spans="1:21">
      <c r="A85" s="11"/>
      <c r="B85" s="11"/>
      <c r="C85" s="11"/>
      <c r="D85" s="11"/>
      <c r="I85" s="5">
        <v>0.32</v>
      </c>
      <c r="J85" s="5">
        <v>0.15</v>
      </c>
      <c r="K85" s="4"/>
      <c r="L85" s="4"/>
      <c r="S85" s="11"/>
      <c r="U85" s="11"/>
    </row>
    <row r="86" spans="1:21">
      <c r="A86" s="11"/>
      <c r="B86" s="11"/>
      <c r="C86" s="11"/>
      <c r="D86" s="11"/>
      <c r="I86" s="5">
        <v>0.09</v>
      </c>
      <c r="J86" s="5">
        <v>0.1</v>
      </c>
      <c r="K86" s="4"/>
      <c r="L86" s="4"/>
      <c r="S86" s="11"/>
      <c r="U86" s="11"/>
    </row>
    <row r="87" spans="1:21">
      <c r="A87" s="11"/>
      <c r="B87" s="11"/>
      <c r="C87" s="11"/>
      <c r="D87" s="11"/>
      <c r="I87" s="5">
        <v>0.38</v>
      </c>
      <c r="J87" s="5">
        <v>0.18</v>
      </c>
      <c r="K87" s="4"/>
      <c r="L87" s="4"/>
      <c r="S87" s="11"/>
      <c r="U87" s="11"/>
    </row>
    <row r="88" spans="1:21">
      <c r="A88" s="11"/>
      <c r="B88" s="11"/>
      <c r="C88" s="11"/>
      <c r="D88" s="11"/>
      <c r="I88" s="5">
        <v>0.36</v>
      </c>
      <c r="J88" s="5">
        <v>0.17</v>
      </c>
      <c r="K88" s="4"/>
      <c r="L88" s="4"/>
      <c r="S88" s="11"/>
      <c r="U88" s="11"/>
    </row>
    <row r="89" spans="1:21">
      <c r="A89" s="11"/>
      <c r="B89" s="11"/>
      <c r="C89" s="11"/>
      <c r="D89" s="11"/>
      <c r="I89" s="5">
        <v>0.39</v>
      </c>
      <c r="J89" s="5">
        <v>0.12</v>
      </c>
      <c r="K89" s="4"/>
      <c r="L89" s="4"/>
      <c r="S89" s="11"/>
      <c r="U89" s="11"/>
    </row>
    <row r="90" spans="1:21">
      <c r="A90" s="11"/>
      <c r="B90" s="11"/>
      <c r="C90" s="11"/>
      <c r="D90" s="11"/>
      <c r="I90" s="5">
        <v>0.43</v>
      </c>
      <c r="J90" s="5">
        <v>0.2</v>
      </c>
      <c r="K90" s="4"/>
      <c r="L90" s="4"/>
      <c r="S90" s="11"/>
      <c r="U90" s="11"/>
    </row>
    <row r="91" spans="1:21">
      <c r="A91" s="11"/>
      <c r="B91" s="11"/>
      <c r="C91" s="11"/>
      <c r="D91" s="11"/>
      <c r="I91" s="5">
        <v>0.23</v>
      </c>
      <c r="J91" s="5">
        <v>0.13</v>
      </c>
      <c r="K91" s="4"/>
      <c r="L91" s="4"/>
      <c r="S91" s="11"/>
      <c r="U91" s="11"/>
    </row>
    <row r="92" spans="1:21">
      <c r="A92" s="11"/>
      <c r="B92" s="11"/>
      <c r="C92" s="11"/>
      <c r="D92" s="11"/>
      <c r="I92" s="5">
        <v>0.39</v>
      </c>
      <c r="J92" s="5">
        <v>0.08</v>
      </c>
      <c r="K92" s="4"/>
      <c r="L92" s="4"/>
      <c r="S92" s="11"/>
      <c r="U92" s="11"/>
    </row>
    <row r="93" spans="1:21">
      <c r="A93" s="11"/>
      <c r="B93" s="11"/>
      <c r="C93" s="11"/>
      <c r="D93" s="11"/>
      <c r="I93" s="5">
        <v>0.06</v>
      </c>
      <c r="J93" s="5">
        <v>0.21</v>
      </c>
      <c r="K93" s="4"/>
      <c r="L93" s="4"/>
      <c r="S93" s="11"/>
      <c r="U93" s="11"/>
    </row>
    <row r="94" spans="1:21">
      <c r="A94" s="11"/>
      <c r="B94" s="11"/>
      <c r="C94" s="11"/>
      <c r="D94" s="11"/>
      <c r="I94" s="5">
        <v>0.12</v>
      </c>
      <c r="J94" s="5">
        <v>0.22</v>
      </c>
      <c r="K94" s="4"/>
      <c r="L94" s="4"/>
      <c r="S94" s="11"/>
      <c r="U94" s="11"/>
    </row>
    <row r="95" spans="1:21">
      <c r="A95" s="11"/>
      <c r="B95" s="11"/>
      <c r="C95" s="11"/>
      <c r="D95" s="11"/>
      <c r="I95" s="5">
        <v>0.24</v>
      </c>
      <c r="J95" s="5">
        <v>0.26</v>
      </c>
      <c r="K95" s="4"/>
      <c r="L95" s="4"/>
      <c r="S95" s="11"/>
      <c r="U95" s="11"/>
    </row>
    <row r="96" spans="1:21">
      <c r="A96" s="11"/>
      <c r="B96" s="11"/>
      <c r="C96" s="11"/>
      <c r="D96" s="11"/>
      <c r="I96" s="5">
        <v>0.14000000000000001</v>
      </c>
      <c r="J96" s="5">
        <v>0.21</v>
      </c>
      <c r="K96" s="4"/>
      <c r="L96" s="4"/>
      <c r="S96" s="11"/>
      <c r="U96" s="11"/>
    </row>
    <row r="97" spans="1:21">
      <c r="A97" s="11"/>
      <c r="B97" s="11"/>
      <c r="C97" s="11"/>
      <c r="D97" s="11"/>
      <c r="I97" s="5">
        <v>0.06</v>
      </c>
      <c r="J97" s="5">
        <v>0.23</v>
      </c>
      <c r="K97" s="4"/>
      <c r="L97" s="4"/>
      <c r="S97" s="11"/>
      <c r="U97" s="11"/>
    </row>
    <row r="98" spans="1:21">
      <c r="A98" s="11"/>
      <c r="B98" s="11"/>
      <c r="C98" s="11"/>
      <c r="D98" s="11"/>
      <c r="I98" s="5">
        <v>0.22</v>
      </c>
      <c r="J98" s="5">
        <v>0.23</v>
      </c>
      <c r="K98" s="4"/>
      <c r="L98" s="4"/>
      <c r="S98" s="11"/>
      <c r="U98" s="11"/>
    </row>
    <row r="99" spans="1:21">
      <c r="A99" s="11"/>
      <c r="B99" s="11"/>
      <c r="C99" s="11"/>
      <c r="D99" s="11"/>
      <c r="I99" s="5">
        <v>7.0000000000000007E-2</v>
      </c>
      <c r="J99" s="5">
        <v>0.19</v>
      </c>
      <c r="K99" s="4"/>
      <c r="L99" s="4"/>
      <c r="S99" s="11"/>
      <c r="U99" s="11"/>
    </row>
    <row r="100" spans="1:21">
      <c r="A100" s="11"/>
      <c r="B100" s="11"/>
      <c r="C100" s="11"/>
      <c r="D100" s="11"/>
      <c r="I100" s="5">
        <v>0.23</v>
      </c>
      <c r="J100" s="5">
        <v>0.26</v>
      </c>
      <c r="K100" s="4"/>
      <c r="L100" s="4"/>
      <c r="S100" s="11"/>
      <c r="U100" s="11"/>
    </row>
    <row r="101" spans="1:21">
      <c r="A101" s="11"/>
      <c r="B101" s="11"/>
      <c r="C101" s="11"/>
      <c r="D101" s="11"/>
      <c r="I101" s="5">
        <v>0.18</v>
      </c>
      <c r="J101" s="5">
        <v>0.2</v>
      </c>
      <c r="K101" s="4"/>
      <c r="L101" s="4"/>
      <c r="S101" s="11"/>
      <c r="U101" s="11"/>
    </row>
    <row r="102" spans="1:21">
      <c r="A102" s="11"/>
      <c r="B102" s="11"/>
      <c r="C102" s="11"/>
      <c r="D102" s="11"/>
      <c r="I102" s="5">
        <v>0.27</v>
      </c>
      <c r="J102" s="5">
        <v>0.18</v>
      </c>
      <c r="K102" s="4"/>
      <c r="L102" s="4"/>
      <c r="S102" s="11"/>
      <c r="U102" s="11"/>
    </row>
    <row r="103" spans="1:21">
      <c r="A103" s="11"/>
      <c r="B103" s="11"/>
      <c r="C103" s="11"/>
      <c r="D103" s="11"/>
      <c r="I103" s="5">
        <v>0.2</v>
      </c>
      <c r="J103" s="5">
        <v>0.21</v>
      </c>
      <c r="K103" s="4"/>
      <c r="L103" s="4"/>
      <c r="S103" s="11"/>
      <c r="U103" s="11"/>
    </row>
    <row r="104" spans="1:21">
      <c r="A104" s="11"/>
      <c r="B104" s="11"/>
      <c r="C104" s="11"/>
      <c r="D104" s="11"/>
      <c r="I104" s="5">
        <v>0.21</v>
      </c>
      <c r="J104" s="5">
        <v>0.27</v>
      </c>
      <c r="K104" s="4"/>
      <c r="L104" s="4"/>
      <c r="S104" s="11"/>
      <c r="U104" s="11"/>
    </row>
    <row r="105" spans="1:21">
      <c r="A105" s="11"/>
      <c r="B105" s="11"/>
      <c r="C105" s="11"/>
      <c r="D105" s="11"/>
      <c r="I105" s="5">
        <v>0.18</v>
      </c>
      <c r="J105" s="5">
        <v>0.08</v>
      </c>
      <c r="K105" s="4"/>
      <c r="L105" s="4"/>
      <c r="S105" s="11"/>
      <c r="U105" s="11"/>
    </row>
    <row r="106" spans="1:21">
      <c r="A106" s="11"/>
      <c r="B106" s="11"/>
      <c r="C106" s="11"/>
      <c r="D106" s="11"/>
      <c r="I106" s="5">
        <v>0.17</v>
      </c>
      <c r="J106" s="5">
        <v>0.39</v>
      </c>
      <c r="K106" s="4"/>
      <c r="L106" s="4"/>
      <c r="S106" s="11"/>
      <c r="U106" s="11"/>
    </row>
    <row r="107" spans="1:21">
      <c r="A107" s="11"/>
      <c r="B107" s="11"/>
      <c r="C107" s="11"/>
      <c r="D107" s="11"/>
      <c r="I107" s="5">
        <v>7.0000000000000007E-2</v>
      </c>
      <c r="J107" s="5">
        <v>0.21</v>
      </c>
      <c r="K107" s="4"/>
      <c r="L107" s="4"/>
      <c r="S107" s="11"/>
      <c r="U107" s="11"/>
    </row>
    <row r="108" spans="1:21">
      <c r="A108" s="11"/>
      <c r="B108" s="11"/>
      <c r="C108" s="11"/>
      <c r="D108" s="11"/>
      <c r="I108" s="5">
        <v>0.18</v>
      </c>
      <c r="J108" s="5">
        <v>0.28999999999999998</v>
      </c>
      <c r="K108" s="4"/>
      <c r="L108" s="4"/>
      <c r="S108" s="11"/>
      <c r="U108" s="11"/>
    </row>
    <row r="109" spans="1:21">
      <c r="A109" s="11"/>
      <c r="B109" s="11"/>
      <c r="C109" s="11"/>
      <c r="D109" s="11"/>
      <c r="I109" s="5">
        <v>0.17</v>
      </c>
      <c r="J109" s="5">
        <v>0.16</v>
      </c>
      <c r="K109" s="4"/>
      <c r="L109" s="4"/>
      <c r="S109" s="11"/>
      <c r="U109" s="11"/>
    </row>
    <row r="110" spans="1:21">
      <c r="A110" s="11"/>
      <c r="B110" s="11"/>
      <c r="C110" s="11"/>
      <c r="D110" s="11"/>
      <c r="I110" s="5">
        <v>0.11</v>
      </c>
      <c r="J110" s="5">
        <v>0.14000000000000001</v>
      </c>
      <c r="K110" s="4"/>
      <c r="L110" s="4"/>
      <c r="S110" s="11"/>
      <c r="U110" s="11"/>
    </row>
    <row r="111" spans="1:21">
      <c r="A111" s="11"/>
      <c r="B111" s="11"/>
      <c r="C111" s="11"/>
      <c r="D111" s="11"/>
      <c r="I111" s="5">
        <v>0.08</v>
      </c>
      <c r="J111" s="5">
        <v>0.24</v>
      </c>
      <c r="K111" s="4"/>
      <c r="L111" s="4"/>
      <c r="S111" s="11"/>
      <c r="U111" s="11"/>
    </row>
    <row r="112" spans="1:21">
      <c r="A112" s="11"/>
      <c r="B112" s="11"/>
      <c r="C112" s="11"/>
      <c r="D112" s="11"/>
      <c r="I112" s="5">
        <v>0.28999999999999998</v>
      </c>
      <c r="J112" s="5">
        <v>0.27</v>
      </c>
      <c r="K112" s="4"/>
      <c r="L112" s="4"/>
      <c r="S112" s="11"/>
      <c r="U112" s="11"/>
    </row>
    <row r="113" spans="1:21">
      <c r="A113" s="11"/>
      <c r="B113" s="11"/>
      <c r="C113" s="11"/>
      <c r="D113" s="11"/>
      <c r="I113" s="5">
        <v>0.06</v>
      </c>
      <c r="J113" s="5">
        <v>0.14000000000000001</v>
      </c>
      <c r="K113" s="4"/>
      <c r="L113" s="4"/>
      <c r="S113" s="11"/>
      <c r="U113" s="11"/>
    </row>
    <row r="114" spans="1:21">
      <c r="A114" s="11"/>
      <c r="B114" s="11"/>
      <c r="C114" s="11"/>
      <c r="D114" s="11"/>
      <c r="I114" s="5">
        <v>0.46</v>
      </c>
      <c r="J114" s="5">
        <v>0.45</v>
      </c>
      <c r="K114" s="4"/>
      <c r="L114" s="4"/>
      <c r="S114" s="11"/>
      <c r="U114" s="11"/>
    </row>
    <row r="115" spans="1:21">
      <c r="A115" s="11"/>
      <c r="B115" s="11"/>
      <c r="C115" s="11"/>
      <c r="D115" s="11"/>
      <c r="I115" s="5">
        <v>0.59</v>
      </c>
      <c r="J115" s="5">
        <v>0.56000000000000005</v>
      </c>
      <c r="K115" s="4"/>
      <c r="L115" s="4"/>
      <c r="S115" s="11"/>
      <c r="U115" s="11"/>
    </row>
    <row r="116" spans="1:21">
      <c r="A116" s="11"/>
      <c r="B116" s="11"/>
      <c r="C116" s="11"/>
      <c r="D116" s="11"/>
      <c r="I116" s="5">
        <v>0.3</v>
      </c>
      <c r="J116" s="5">
        <v>0.18</v>
      </c>
      <c r="K116" s="4"/>
      <c r="L116" s="4"/>
      <c r="S116" s="11"/>
      <c r="U116" s="11"/>
    </row>
    <row r="117" spans="1:21">
      <c r="A117" s="11"/>
      <c r="B117" s="11"/>
      <c r="C117" s="11"/>
      <c r="D117" s="11"/>
      <c r="I117" s="5">
        <v>0.98</v>
      </c>
      <c r="J117" s="5">
        <v>0.93</v>
      </c>
      <c r="K117" s="4"/>
      <c r="L117" s="4"/>
      <c r="S117" s="11"/>
      <c r="U117" s="11"/>
    </row>
    <row r="118" spans="1:21">
      <c r="A118" s="11"/>
      <c r="B118" s="11"/>
      <c r="C118" s="11"/>
      <c r="D118" s="11"/>
      <c r="I118" s="5">
        <v>0.16</v>
      </c>
      <c r="J118" s="5">
        <v>0.18</v>
      </c>
      <c r="K118" s="4"/>
      <c r="L118" s="4"/>
      <c r="S118" s="11"/>
      <c r="U118" s="11"/>
    </row>
    <row r="119" spans="1:21">
      <c r="A119" s="11"/>
      <c r="B119" s="11"/>
      <c r="C119" s="11"/>
      <c r="D119" s="11"/>
      <c r="I119" s="5">
        <v>0.21</v>
      </c>
      <c r="J119" s="5">
        <v>0.08</v>
      </c>
      <c r="K119" s="4"/>
      <c r="L119" s="4"/>
      <c r="S119" s="11"/>
      <c r="U119" s="11"/>
    </row>
    <row r="120" spans="1:21">
      <c r="A120" s="11"/>
      <c r="B120" s="11"/>
      <c r="C120" s="11"/>
      <c r="D120" s="11"/>
      <c r="I120" s="5">
        <v>0.21</v>
      </c>
      <c r="J120" s="5">
        <v>0.42</v>
      </c>
      <c r="K120" s="4"/>
      <c r="L120" s="4"/>
      <c r="S120" s="11"/>
      <c r="U120" s="11"/>
    </row>
    <row r="121" spans="1:21">
      <c r="A121" s="11"/>
      <c r="B121" s="11"/>
      <c r="C121" s="11"/>
      <c r="D121" s="11"/>
      <c r="I121" s="5">
        <v>0.21</v>
      </c>
      <c r="J121" s="5">
        <v>0.18</v>
      </c>
      <c r="K121" s="4"/>
      <c r="L121" s="4"/>
      <c r="S121" s="11"/>
      <c r="U121" s="11"/>
    </row>
    <row r="122" spans="1:21">
      <c r="A122" s="11"/>
      <c r="B122" s="11"/>
      <c r="C122" s="11"/>
      <c r="D122" s="11"/>
      <c r="I122" s="5">
        <v>0.14000000000000001</v>
      </c>
      <c r="J122" s="5">
        <v>0.2</v>
      </c>
      <c r="K122" s="4"/>
      <c r="L122" s="4"/>
      <c r="S122" s="11"/>
      <c r="U122" s="11"/>
    </row>
    <row r="123" spans="1:21">
      <c r="A123" s="11"/>
      <c r="B123" s="11"/>
      <c r="C123" s="11"/>
      <c r="D123" s="11"/>
      <c r="I123" s="5">
        <v>0.15</v>
      </c>
      <c r="J123" s="5">
        <v>0.12</v>
      </c>
      <c r="K123" s="4"/>
      <c r="L123" s="4"/>
      <c r="M123" s="4"/>
      <c r="N123" s="11"/>
      <c r="S123" s="11"/>
      <c r="U123" s="11"/>
    </row>
    <row r="124" spans="1:21">
      <c r="A124" s="11"/>
      <c r="B124" s="11"/>
      <c r="C124" s="11"/>
      <c r="D124" s="11"/>
      <c r="I124" s="5">
        <v>0.24</v>
      </c>
      <c r="J124" s="5">
        <v>0.11</v>
      </c>
      <c r="K124" s="4"/>
      <c r="L124" s="4"/>
      <c r="M124" s="4"/>
      <c r="N124" s="11"/>
      <c r="S124" s="11"/>
      <c r="U124" s="11"/>
    </row>
    <row r="125" spans="1:21">
      <c r="A125" s="11"/>
      <c r="B125" s="11"/>
      <c r="C125" s="11"/>
      <c r="D125" s="11"/>
      <c r="I125" s="5">
        <v>0.19</v>
      </c>
      <c r="J125" s="5">
        <v>0.12</v>
      </c>
      <c r="K125" s="4"/>
      <c r="L125" s="4"/>
      <c r="M125" s="4"/>
      <c r="N125" s="11"/>
      <c r="S125" s="11"/>
      <c r="U125" s="11"/>
    </row>
    <row r="126" spans="1:21">
      <c r="A126" s="11"/>
      <c r="B126" s="11"/>
      <c r="C126" s="11"/>
      <c r="D126" s="11"/>
      <c r="I126" s="5">
        <v>7.0000000000000007E-2</v>
      </c>
      <c r="J126" s="5">
        <v>0.11</v>
      </c>
      <c r="K126" s="4"/>
      <c r="L126" s="4"/>
      <c r="M126" s="4"/>
      <c r="N126" s="11"/>
      <c r="S126" s="11"/>
      <c r="U126" s="11"/>
    </row>
    <row r="127" spans="1:21">
      <c r="A127" s="11"/>
      <c r="B127" s="11"/>
      <c r="C127" s="11"/>
      <c r="D127" s="11"/>
      <c r="I127" s="5">
        <v>0.28999999999999998</v>
      </c>
      <c r="J127" s="5">
        <v>0.13</v>
      </c>
      <c r="K127" s="4"/>
      <c r="L127" s="4"/>
      <c r="M127" s="4"/>
      <c r="N127" s="11"/>
      <c r="S127" s="11"/>
      <c r="U127" s="11"/>
    </row>
    <row r="128" spans="1:21">
      <c r="A128" s="11"/>
      <c r="B128" s="11"/>
      <c r="C128" s="11"/>
      <c r="D128" s="11"/>
      <c r="I128" s="5">
        <v>0.12</v>
      </c>
      <c r="J128" s="5">
        <v>0.13</v>
      </c>
      <c r="K128" s="4"/>
      <c r="L128" s="4"/>
      <c r="M128" s="4"/>
      <c r="N128" s="11"/>
      <c r="S128" s="11"/>
      <c r="U128" s="11"/>
    </row>
    <row r="129" spans="1:21">
      <c r="A129" s="11"/>
      <c r="B129" s="11"/>
      <c r="C129" s="11"/>
      <c r="D129" s="11"/>
      <c r="I129" s="5">
        <v>0.27</v>
      </c>
      <c r="J129" s="5">
        <v>0.13</v>
      </c>
      <c r="K129" s="4"/>
      <c r="L129" s="4"/>
      <c r="M129" s="4"/>
      <c r="N129" s="11"/>
      <c r="S129" s="11"/>
      <c r="U129" s="11"/>
    </row>
    <row r="130" spans="1:21">
      <c r="A130" s="11"/>
      <c r="B130" s="11"/>
      <c r="C130" s="11"/>
      <c r="D130" s="11"/>
      <c r="I130" s="5">
        <v>0.28000000000000003</v>
      </c>
      <c r="J130" s="5">
        <v>0.13</v>
      </c>
      <c r="K130" s="4"/>
      <c r="L130" s="4"/>
      <c r="M130" s="4"/>
      <c r="N130" s="11"/>
      <c r="S130" s="11"/>
      <c r="U130" s="11"/>
    </row>
    <row r="131" spans="1:21">
      <c r="A131" s="11"/>
      <c r="B131" s="11"/>
      <c r="C131" s="11"/>
      <c r="D131" s="11"/>
      <c r="I131" s="5">
        <v>0.28999999999999998</v>
      </c>
      <c r="J131" s="5">
        <v>0.08</v>
      </c>
      <c r="K131" s="4"/>
      <c r="L131" s="4"/>
      <c r="M131" s="4"/>
      <c r="N131" s="11"/>
      <c r="S131" s="11"/>
      <c r="U131" s="11"/>
    </row>
    <row r="132" spans="1:21">
      <c r="A132" s="11"/>
      <c r="B132" s="11"/>
      <c r="C132" s="11"/>
      <c r="D132" s="11"/>
      <c r="I132" s="5">
        <v>0.3</v>
      </c>
      <c r="J132" s="5">
        <v>0.14000000000000001</v>
      </c>
      <c r="K132" s="4"/>
      <c r="L132" s="4"/>
      <c r="M132" s="4"/>
      <c r="N132" s="11"/>
      <c r="S132" s="11"/>
      <c r="U132" s="11"/>
    </row>
    <row r="133" spans="1:21">
      <c r="A133" s="11"/>
      <c r="B133" s="11"/>
      <c r="C133" s="11"/>
      <c r="D133" s="11"/>
      <c r="I133" s="5">
        <v>0.22</v>
      </c>
      <c r="J133" s="5">
        <v>0.12</v>
      </c>
      <c r="K133" s="4"/>
      <c r="L133" s="4"/>
      <c r="M133" s="4"/>
      <c r="N133" s="11"/>
      <c r="S133" s="11"/>
      <c r="U133" s="11"/>
    </row>
    <row r="134" spans="1:21">
      <c r="A134" s="11"/>
      <c r="B134" s="11"/>
      <c r="C134" s="11"/>
      <c r="D134" s="11"/>
      <c r="I134" s="5">
        <v>0.38</v>
      </c>
      <c r="J134" s="5">
        <v>7.0000000000000007E-2</v>
      </c>
      <c r="K134" s="4"/>
      <c r="L134" s="4"/>
      <c r="M134" s="4"/>
      <c r="N134" s="11"/>
      <c r="S134" s="11"/>
      <c r="U134" s="11"/>
    </row>
    <row r="135" spans="1:21">
      <c r="A135" s="11"/>
      <c r="B135" s="11"/>
      <c r="C135" s="11"/>
      <c r="D135" s="11"/>
      <c r="I135" s="5">
        <v>0.73</v>
      </c>
      <c r="J135" s="5">
        <v>0.71</v>
      </c>
      <c r="K135" s="4"/>
      <c r="L135" s="4"/>
      <c r="M135" s="4"/>
      <c r="N135" s="11"/>
      <c r="S135" s="11"/>
      <c r="U135" s="11"/>
    </row>
    <row r="136" spans="1:21">
      <c r="A136" s="11"/>
      <c r="B136" s="11"/>
      <c r="C136" s="11"/>
      <c r="D136" s="11"/>
      <c r="I136" s="5">
        <v>0.31</v>
      </c>
      <c r="J136" s="5">
        <v>0.13</v>
      </c>
      <c r="K136" s="4"/>
      <c r="L136" s="4"/>
      <c r="M136" s="4"/>
      <c r="N136" s="11"/>
      <c r="S136" s="11"/>
      <c r="U136" s="11"/>
    </row>
    <row r="137" spans="1:21">
      <c r="A137" s="11"/>
      <c r="B137" s="11"/>
      <c r="C137" s="11"/>
      <c r="D137" s="11"/>
      <c r="I137" s="5">
        <v>0.3</v>
      </c>
      <c r="J137" s="5">
        <v>0.14000000000000001</v>
      </c>
      <c r="K137" s="4"/>
      <c r="L137" s="4"/>
      <c r="M137" s="4"/>
      <c r="N137" s="11"/>
      <c r="S137" s="11"/>
      <c r="U137" s="11"/>
    </row>
    <row r="138" spans="1:21">
      <c r="A138" s="11"/>
      <c r="B138" s="11"/>
      <c r="C138" s="11"/>
      <c r="D138" s="11"/>
      <c r="I138" s="5">
        <v>0.04</v>
      </c>
      <c r="J138" s="5">
        <v>0.25</v>
      </c>
      <c r="K138" s="4"/>
      <c r="L138" s="4"/>
      <c r="M138" s="4"/>
      <c r="N138" s="11"/>
      <c r="S138" s="11"/>
      <c r="U138" s="11"/>
    </row>
    <row r="139" spans="1:21">
      <c r="I139" s="5">
        <v>0.08</v>
      </c>
      <c r="J139" s="5">
        <v>0.25</v>
      </c>
      <c r="K139" s="4"/>
      <c r="L139" s="4"/>
      <c r="M139" s="4"/>
      <c r="S139" s="11"/>
    </row>
    <row r="140" spans="1:21">
      <c r="I140" s="5">
        <v>7.0000000000000007E-2</v>
      </c>
      <c r="J140" s="5">
        <v>0.13</v>
      </c>
      <c r="K140" s="4"/>
      <c r="L140" s="4"/>
      <c r="M140" s="4"/>
    </row>
    <row r="141" spans="1:21">
      <c r="I141" s="5">
        <v>0.06</v>
      </c>
      <c r="J141" s="5">
        <v>0.14000000000000001</v>
      </c>
      <c r="K141" s="4"/>
      <c r="L141" s="4"/>
      <c r="M141" s="4"/>
    </row>
    <row r="142" spans="1:21">
      <c r="I142" s="5">
        <v>0.03</v>
      </c>
      <c r="J142" s="5">
        <v>0.19</v>
      </c>
      <c r="K142" s="4"/>
      <c r="L142" s="4"/>
      <c r="M142" s="4"/>
    </row>
    <row r="143" spans="1:21">
      <c r="I143" s="5">
        <v>0.09</v>
      </c>
      <c r="J143" s="5">
        <v>0.16</v>
      </c>
      <c r="K143" s="4"/>
      <c r="L143" s="4"/>
      <c r="M143" s="4"/>
    </row>
    <row r="144" spans="1:21">
      <c r="I144" s="5">
        <v>0.03</v>
      </c>
      <c r="J144" s="5">
        <v>0.14000000000000001</v>
      </c>
      <c r="K144" s="4"/>
      <c r="L144" s="4"/>
      <c r="M144" s="4"/>
    </row>
    <row r="145" spans="9:13">
      <c r="I145" s="5">
        <v>0.09</v>
      </c>
      <c r="J145" s="5">
        <v>0.17</v>
      </c>
      <c r="K145" s="4"/>
      <c r="L145" s="4"/>
      <c r="M145" s="4"/>
    </row>
    <row r="146" spans="9:13">
      <c r="I146" s="5">
        <v>0.11</v>
      </c>
      <c r="J146" s="5">
        <v>0.19</v>
      </c>
      <c r="K146" s="4"/>
      <c r="L146" s="4"/>
      <c r="M146" s="4"/>
    </row>
    <row r="147" spans="9:13">
      <c r="I147" s="5">
        <v>0.08</v>
      </c>
      <c r="J147" s="5">
        <v>0.09</v>
      </c>
      <c r="K147" s="4"/>
      <c r="L147" s="4"/>
      <c r="M147" s="4"/>
    </row>
    <row r="148" spans="9:13">
      <c r="I148" s="5">
        <v>0.11</v>
      </c>
      <c r="J148" s="5">
        <v>0.2</v>
      </c>
      <c r="K148" s="4"/>
      <c r="L148" s="4"/>
      <c r="M148" s="4"/>
    </row>
    <row r="149" spans="9:13">
      <c r="I149" s="5">
        <v>0.06</v>
      </c>
      <c r="J149" s="5">
        <v>0.13</v>
      </c>
      <c r="K149" s="4"/>
      <c r="L149" s="4"/>
      <c r="M149" s="4"/>
    </row>
    <row r="150" spans="9:13">
      <c r="I150" s="5">
        <v>0.26</v>
      </c>
      <c r="J150" s="5">
        <v>0.18</v>
      </c>
      <c r="K150" s="4"/>
      <c r="L150" s="4"/>
      <c r="M150" s="4"/>
    </row>
    <row r="151" spans="9:13">
      <c r="I151" s="5">
        <v>0.1</v>
      </c>
      <c r="J151" s="5">
        <v>0.36</v>
      </c>
      <c r="K151" s="4"/>
      <c r="L151" s="4"/>
      <c r="M151" s="4"/>
    </row>
    <row r="152" spans="9:13">
      <c r="I152" s="5">
        <v>0.09</v>
      </c>
      <c r="J152" s="5">
        <v>0.15</v>
      </c>
      <c r="K152" s="4"/>
      <c r="L152" s="4"/>
      <c r="M152" s="4"/>
    </row>
    <row r="153" spans="9:13">
      <c r="I153" s="5">
        <v>0.11</v>
      </c>
      <c r="J153" s="5">
        <v>0.21</v>
      </c>
      <c r="K153" s="4"/>
      <c r="L153" s="4"/>
      <c r="M153" s="4"/>
    </row>
    <row r="154" spans="9:13">
      <c r="I154" s="5">
        <v>0.1</v>
      </c>
      <c r="J154" s="5">
        <v>0.38</v>
      </c>
      <c r="K154" s="4"/>
      <c r="L154" s="4"/>
      <c r="M154" s="4"/>
    </row>
    <row r="155" spans="9:13">
      <c r="I155" s="5">
        <v>0.02</v>
      </c>
      <c r="J155" s="5">
        <v>0.17</v>
      </c>
      <c r="K155" s="4"/>
      <c r="L155" s="4"/>
      <c r="M155" s="4"/>
    </row>
    <row r="156" spans="9:13">
      <c r="I156" s="5">
        <v>0.06</v>
      </c>
      <c r="J156" s="5">
        <v>0.22</v>
      </c>
      <c r="K156" s="4"/>
      <c r="L156" s="4"/>
      <c r="M156" s="4"/>
    </row>
    <row r="157" spans="9:13">
      <c r="I157" s="5">
        <v>7.0000000000000007E-2</v>
      </c>
      <c r="J157" s="5">
        <v>0.14000000000000001</v>
      </c>
      <c r="K157" s="4"/>
      <c r="L157" s="4"/>
      <c r="M157" s="4"/>
    </row>
    <row r="158" spans="9:13">
      <c r="I158" s="5">
        <v>0.05</v>
      </c>
      <c r="J158" s="5">
        <v>0.14000000000000001</v>
      </c>
      <c r="K158" s="4"/>
      <c r="L158" s="4"/>
      <c r="M158" s="4"/>
    </row>
    <row r="159" spans="9:13">
      <c r="I159" s="5">
        <v>0.02</v>
      </c>
      <c r="J159" s="5">
        <v>0.17</v>
      </c>
      <c r="K159" s="4"/>
      <c r="L159" s="4"/>
      <c r="M159" s="4"/>
    </row>
    <row r="160" spans="9:13">
      <c r="I160" s="5">
        <v>0.12</v>
      </c>
      <c r="J160" s="5">
        <v>0.24</v>
      </c>
      <c r="K160" s="4"/>
      <c r="L160" s="4"/>
      <c r="M160" s="4"/>
    </row>
    <row r="161" spans="9:13">
      <c r="I161" s="5">
        <v>0.02</v>
      </c>
      <c r="J161" s="5">
        <v>0.11</v>
      </c>
      <c r="K161" s="4"/>
      <c r="L161" s="4"/>
      <c r="M161" s="4"/>
    </row>
    <row r="162" spans="9:13">
      <c r="I162" s="5">
        <v>0.14000000000000001</v>
      </c>
      <c r="J162" s="5">
        <v>0.3</v>
      </c>
      <c r="K162" s="4"/>
      <c r="L162" s="4"/>
      <c r="M162" s="4"/>
    </row>
    <row r="163" spans="9:13">
      <c r="I163" s="5">
        <v>0.15</v>
      </c>
      <c r="J163" s="5">
        <v>0.3</v>
      </c>
      <c r="K163" s="4"/>
      <c r="L163" s="4"/>
      <c r="M163" s="4"/>
    </row>
    <row r="164" spans="9:13">
      <c r="I164" s="5">
        <v>0.2</v>
      </c>
      <c r="J164" s="5">
        <v>0.26</v>
      </c>
      <c r="K164" s="4"/>
      <c r="L164" s="4"/>
      <c r="M164" s="4"/>
    </row>
    <row r="165" spans="9:13">
      <c r="I165" s="5">
        <v>0.15</v>
      </c>
      <c r="J165" s="5">
        <v>0.31</v>
      </c>
      <c r="K165" s="4"/>
      <c r="L165" s="4"/>
      <c r="M165" s="4"/>
    </row>
    <row r="166" spans="9:13">
      <c r="I166" s="5">
        <v>0.06</v>
      </c>
      <c r="J166" s="5">
        <v>0.16</v>
      </c>
      <c r="K166" s="4"/>
      <c r="L166" s="4"/>
      <c r="M166" s="4"/>
    </row>
    <row r="167" spans="9:13">
      <c r="I167" s="5">
        <v>0.16</v>
      </c>
      <c r="J167" s="5">
        <v>0.14000000000000001</v>
      </c>
      <c r="K167" s="4"/>
      <c r="L167" s="4"/>
      <c r="M167" s="4"/>
    </row>
    <row r="168" spans="9:13">
      <c r="I168" s="5">
        <v>0.09</v>
      </c>
      <c r="J168" s="5">
        <v>0.39</v>
      </c>
      <c r="K168" s="4"/>
      <c r="L168" s="4"/>
      <c r="M168" s="4"/>
    </row>
    <row r="169" spans="9:13">
      <c r="I169" s="5">
        <v>0.18</v>
      </c>
      <c r="J169" s="5">
        <v>0.34</v>
      </c>
      <c r="K169" s="4"/>
      <c r="L169" s="4"/>
      <c r="M169" s="4"/>
    </row>
    <row r="170" spans="9:13">
      <c r="I170" s="5">
        <v>0.14000000000000001</v>
      </c>
      <c r="J170" s="5">
        <v>0.31</v>
      </c>
      <c r="K170" s="4"/>
      <c r="L170" s="4"/>
      <c r="M170" s="4"/>
    </row>
    <row r="171" spans="9:13">
      <c r="I171" s="5">
        <v>7.0000000000000007E-2</v>
      </c>
      <c r="J171" s="5">
        <v>0.32</v>
      </c>
      <c r="K171" s="4"/>
      <c r="L171" s="4"/>
      <c r="M171" s="4"/>
    </row>
    <row r="172" spans="9:13">
      <c r="I172" s="5">
        <v>0.22</v>
      </c>
      <c r="J172" s="5">
        <v>0.26</v>
      </c>
      <c r="K172" s="4"/>
      <c r="L172" s="4"/>
      <c r="M172" s="4"/>
    </row>
    <row r="173" spans="9:13">
      <c r="I173" s="5">
        <v>0.08</v>
      </c>
      <c r="J173" s="5">
        <v>0.18</v>
      </c>
      <c r="K173" s="4"/>
      <c r="L173" s="4"/>
      <c r="M173" s="4"/>
    </row>
    <row r="174" spans="9:13">
      <c r="I174" s="5">
        <v>0.17</v>
      </c>
      <c r="J174" s="5">
        <v>0.21</v>
      </c>
      <c r="K174" s="4"/>
      <c r="L174" s="4"/>
      <c r="M174" s="4"/>
    </row>
    <row r="175" spans="9:13">
      <c r="I175" s="5">
        <v>0.22</v>
      </c>
      <c r="J175" s="5">
        <v>0.16</v>
      </c>
      <c r="K175" s="4"/>
      <c r="L175" s="4"/>
      <c r="M175" s="4"/>
    </row>
    <row r="176" spans="9:13">
      <c r="I176" s="5">
        <v>0.14000000000000001</v>
      </c>
      <c r="J176" s="5">
        <v>0.14000000000000001</v>
      </c>
      <c r="K176" s="4"/>
      <c r="L176" s="4"/>
      <c r="M176" s="4"/>
    </row>
    <row r="177" spans="9:13">
      <c r="I177" s="5">
        <v>0.1</v>
      </c>
      <c r="J177" s="5">
        <v>0.24</v>
      </c>
      <c r="K177" s="4"/>
      <c r="L177" s="4"/>
      <c r="M177" s="4"/>
    </row>
    <row r="178" spans="9:13">
      <c r="I178" s="5">
        <v>0.47</v>
      </c>
      <c r="J178" s="5">
        <v>0.33</v>
      </c>
      <c r="K178" s="4"/>
      <c r="L178" s="4"/>
      <c r="M178" s="4"/>
    </row>
    <row r="179" spans="9:13">
      <c r="I179" s="5">
        <v>0.08</v>
      </c>
      <c r="J179" s="5">
        <v>0.14000000000000001</v>
      </c>
      <c r="K179" s="4"/>
      <c r="L179" s="4"/>
      <c r="M179" s="4"/>
    </row>
    <row r="180" spans="9:13">
      <c r="I180" s="5">
        <v>0.45</v>
      </c>
      <c r="J180" s="5">
        <v>0.33</v>
      </c>
      <c r="K180" s="4"/>
      <c r="L180" s="4"/>
      <c r="M180" s="4"/>
    </row>
    <row r="181" spans="9:13">
      <c r="I181" s="5">
        <v>0.47</v>
      </c>
      <c r="J181" s="5">
        <v>0.34</v>
      </c>
      <c r="K181" s="4"/>
      <c r="L181" s="4"/>
      <c r="M181" s="4"/>
    </row>
    <row r="182" spans="9:13">
      <c r="I182" s="5">
        <v>0.35</v>
      </c>
      <c r="J182" s="5">
        <v>0.16</v>
      </c>
      <c r="K182" s="4"/>
      <c r="L182" s="4"/>
      <c r="M182" s="4"/>
    </row>
    <row r="183" spans="9:13">
      <c r="I183" s="5">
        <v>0.5</v>
      </c>
      <c r="J183" s="5">
        <v>0.36</v>
      </c>
      <c r="K183" s="4"/>
      <c r="L183" s="4"/>
      <c r="M183" s="4"/>
    </row>
    <row r="184" spans="9:13">
      <c r="I184" s="5">
        <v>0.19</v>
      </c>
      <c r="J184" s="5">
        <v>0.17</v>
      </c>
      <c r="K184" s="4"/>
      <c r="L184" s="4"/>
      <c r="M184" s="4"/>
    </row>
    <row r="185" spans="9:13">
      <c r="I185" s="5">
        <v>0.21</v>
      </c>
      <c r="J185" s="5">
        <v>0.06</v>
      </c>
      <c r="K185" s="4"/>
      <c r="L185" s="4"/>
      <c r="M185" s="4"/>
    </row>
    <row r="186" spans="9:13">
      <c r="I186" s="5">
        <v>0.28000000000000003</v>
      </c>
      <c r="J186" s="5">
        <v>0.43</v>
      </c>
      <c r="K186" s="4"/>
      <c r="L186" s="4"/>
      <c r="M186" s="4"/>
    </row>
    <row r="187" spans="9:13">
      <c r="I187" s="5">
        <v>0.28000000000000003</v>
      </c>
      <c r="J187" s="5">
        <v>0.19</v>
      </c>
      <c r="K187" s="4"/>
      <c r="L187" s="4"/>
      <c r="M187" s="4"/>
    </row>
    <row r="188" spans="9:13">
      <c r="I188" s="5">
        <v>0.5</v>
      </c>
      <c r="J188" s="5">
        <v>0.38</v>
      </c>
      <c r="K188" s="4"/>
      <c r="L188" s="4"/>
      <c r="M188" s="4"/>
    </row>
    <row r="189" spans="9:13">
      <c r="I189" s="5">
        <v>0.19</v>
      </c>
      <c r="J189" s="5">
        <v>0.3</v>
      </c>
      <c r="K189" s="4"/>
      <c r="L189" s="4"/>
      <c r="M189" s="4"/>
    </row>
    <row r="190" spans="9:13">
      <c r="I190" s="5">
        <v>0.19</v>
      </c>
      <c r="J190" s="5">
        <v>0.08</v>
      </c>
      <c r="K190" s="4"/>
      <c r="L190" s="4"/>
      <c r="M190" s="4"/>
    </row>
    <row r="191" spans="9:13">
      <c r="I191" s="5">
        <v>0.32</v>
      </c>
      <c r="J191" s="15">
        <v>0.11</v>
      </c>
    </row>
    <row r="192" spans="9:13">
      <c r="I192" s="5"/>
      <c r="J192" s="5"/>
      <c r="K192" s="4"/>
      <c r="L192" s="4"/>
      <c r="M192" s="4"/>
    </row>
    <row r="193" spans="9:13">
      <c r="I193" s="5"/>
      <c r="J193" s="5"/>
      <c r="K193" s="4"/>
      <c r="L193" s="4"/>
      <c r="M193" s="4"/>
    </row>
    <row r="194" spans="9:13">
      <c r="I194" s="5"/>
      <c r="J194" s="5"/>
      <c r="K194" s="4"/>
      <c r="L194" s="4"/>
      <c r="M194" s="4"/>
    </row>
    <row r="195" spans="9:13">
      <c r="I195" s="5"/>
      <c r="J195" s="5"/>
      <c r="K195" s="4"/>
      <c r="L195" s="4"/>
      <c r="M195" s="4"/>
    </row>
    <row r="196" spans="9:13">
      <c r="I196" s="5"/>
      <c r="J196" s="5"/>
      <c r="K196" s="4"/>
      <c r="L196" s="4"/>
      <c r="M196" s="4"/>
    </row>
    <row r="197" spans="9:13">
      <c r="I197" s="5"/>
      <c r="J197" s="5"/>
      <c r="K197" s="4"/>
      <c r="L197" s="4"/>
      <c r="M197" s="4"/>
    </row>
    <row r="198" spans="9:13">
      <c r="I198" s="5"/>
      <c r="J198" s="5"/>
      <c r="K198" s="4"/>
      <c r="L198" s="4"/>
      <c r="M198" s="4"/>
    </row>
    <row r="199" spans="9:13">
      <c r="I199" s="5"/>
      <c r="J199" s="5"/>
      <c r="K199" s="4"/>
      <c r="L199" s="4"/>
      <c r="M199" s="4"/>
    </row>
    <row r="200" spans="9:13">
      <c r="I200" s="5"/>
      <c r="J200" s="5"/>
      <c r="K200" s="4"/>
      <c r="L200" s="4"/>
      <c r="M200" s="4"/>
    </row>
    <row r="201" spans="9:13">
      <c r="I201" s="5"/>
      <c r="J201" s="5"/>
      <c r="K201" s="4"/>
      <c r="L201" s="4"/>
      <c r="M201" s="4"/>
    </row>
    <row r="202" spans="9:13">
      <c r="I202" s="5"/>
      <c r="J202" s="5"/>
      <c r="K202" s="4"/>
      <c r="L202" s="4"/>
      <c r="M202" s="4"/>
    </row>
    <row r="203" spans="9:13">
      <c r="I203" s="5"/>
      <c r="J203" s="5"/>
      <c r="K203" s="4"/>
      <c r="L203" s="4"/>
      <c r="M203" s="4"/>
    </row>
    <row r="204" spans="9:13">
      <c r="I204" s="5"/>
      <c r="J204" s="5"/>
      <c r="K204" s="4"/>
      <c r="L204" s="4"/>
      <c r="M204" s="4"/>
    </row>
    <row r="205" spans="9:13">
      <c r="I205" s="5"/>
      <c r="J205" s="5"/>
      <c r="K205" s="4"/>
      <c r="L205" s="4"/>
      <c r="M205" s="4"/>
    </row>
    <row r="206" spans="9:13">
      <c r="I206" s="5"/>
      <c r="J206" s="5"/>
      <c r="K206" s="4"/>
      <c r="L206" s="4"/>
      <c r="M206" s="4"/>
    </row>
    <row r="207" spans="9:13">
      <c r="I207" s="5"/>
      <c r="J207" s="5"/>
      <c r="K207" s="4"/>
      <c r="L207" s="4"/>
      <c r="M207" s="4"/>
    </row>
    <row r="208" spans="9:13">
      <c r="I208" s="5"/>
      <c r="J208" s="5"/>
      <c r="K208" s="4"/>
      <c r="L208" s="4"/>
      <c r="M208" s="4"/>
    </row>
    <row r="209" spans="9:13">
      <c r="I209" s="5"/>
      <c r="J209" s="5"/>
      <c r="K209" s="4"/>
      <c r="L209" s="4"/>
      <c r="M209" s="4"/>
    </row>
    <row r="210" spans="9:13">
      <c r="I210" s="5"/>
      <c r="J210" s="5"/>
      <c r="K210" s="4"/>
      <c r="L210" s="4"/>
      <c r="M210" s="4"/>
    </row>
    <row r="211" spans="9:13">
      <c r="I211" s="5"/>
      <c r="J211" s="5"/>
      <c r="K211" s="4"/>
      <c r="L211" s="4"/>
      <c r="M211" s="4"/>
    </row>
    <row r="212" spans="9:13">
      <c r="I212" s="5"/>
      <c r="J212" s="5"/>
      <c r="K212" s="4"/>
      <c r="L212" s="4"/>
      <c r="M212" s="4"/>
    </row>
    <row r="213" spans="9:13">
      <c r="I213" s="5"/>
      <c r="J213" s="5"/>
      <c r="K213" s="4"/>
      <c r="L213" s="4"/>
      <c r="M213" s="4"/>
    </row>
    <row r="214" spans="9:13">
      <c r="I214" s="5"/>
      <c r="J214" s="5"/>
      <c r="K214" s="4"/>
      <c r="L214" s="4"/>
      <c r="M214" s="4"/>
    </row>
    <row r="215" spans="9:13">
      <c r="I215" s="5"/>
      <c r="J215" s="5"/>
      <c r="K215" s="4"/>
      <c r="L215" s="4"/>
      <c r="M215" s="4"/>
    </row>
    <row r="216" spans="9:13">
      <c r="I216" s="5"/>
      <c r="J216" s="5"/>
      <c r="K216" s="4"/>
      <c r="L216" s="4"/>
      <c r="M216" s="4"/>
    </row>
    <row r="217" spans="9:13">
      <c r="I217" s="5"/>
      <c r="J217" s="5"/>
      <c r="K217" s="4"/>
      <c r="L217" s="4"/>
      <c r="M217" s="4"/>
    </row>
    <row r="218" spans="9:13">
      <c r="I218" s="5"/>
      <c r="J218" s="5"/>
      <c r="K218" s="4"/>
      <c r="L218" s="4"/>
      <c r="M218" s="4"/>
    </row>
    <row r="219" spans="9:13">
      <c r="I219" s="5"/>
      <c r="J219" s="5"/>
      <c r="K219" s="4"/>
      <c r="L219" s="4"/>
      <c r="M219" s="4"/>
    </row>
    <row r="220" spans="9:13">
      <c r="I220" s="5"/>
      <c r="J220" s="5"/>
      <c r="K220" s="4"/>
      <c r="L220" s="4"/>
      <c r="M220" s="4"/>
    </row>
    <row r="221" spans="9:13">
      <c r="I221" s="5"/>
      <c r="J221" s="5"/>
      <c r="K221" s="4"/>
      <c r="L221" s="4"/>
      <c r="M221" s="4"/>
    </row>
    <row r="222" spans="9:13">
      <c r="I222" s="5"/>
      <c r="J222" s="5"/>
      <c r="K222" s="4"/>
      <c r="L222" s="4"/>
      <c r="M222" s="4"/>
    </row>
    <row r="223" spans="9:13">
      <c r="I223" s="5"/>
      <c r="J223" s="5"/>
      <c r="K223" s="4"/>
      <c r="L223" s="4"/>
      <c r="M223" s="4"/>
    </row>
    <row r="224" spans="9:13">
      <c r="I224" s="5"/>
      <c r="J224" s="5"/>
      <c r="K224" s="4"/>
      <c r="L224" s="4"/>
      <c r="M224" s="4"/>
    </row>
    <row r="225" spans="9:13">
      <c r="I225" s="5"/>
      <c r="J225" s="5"/>
      <c r="K225" s="4"/>
      <c r="L225" s="4"/>
      <c r="M225" s="4"/>
    </row>
    <row r="226" spans="9:13">
      <c r="I226" s="5"/>
      <c r="J226" s="5"/>
      <c r="K226" s="4"/>
      <c r="L226" s="4"/>
      <c r="M226" s="4"/>
    </row>
    <row r="227" spans="9:13">
      <c r="I227" s="5"/>
      <c r="J227" s="5"/>
      <c r="K227" s="4"/>
      <c r="L227" s="4"/>
      <c r="M227" s="4"/>
    </row>
    <row r="228" spans="9:13">
      <c r="I228" s="5"/>
      <c r="J228" s="5"/>
      <c r="K228" s="4"/>
      <c r="L228" s="4"/>
      <c r="M228" s="4"/>
    </row>
    <row r="229" spans="9:13">
      <c r="I229" s="5"/>
      <c r="J229" s="5"/>
      <c r="K229" s="4"/>
      <c r="L229" s="4"/>
      <c r="M229" s="4"/>
    </row>
    <row r="230" spans="9:13">
      <c r="I230" s="5"/>
      <c r="J230" s="5"/>
      <c r="K230" s="4"/>
      <c r="L230" s="4"/>
      <c r="M230" s="4"/>
    </row>
    <row r="231" spans="9:13">
      <c r="I231" s="5"/>
      <c r="J231" s="5"/>
      <c r="K231" s="4"/>
      <c r="L231" s="4"/>
      <c r="M231" s="4"/>
    </row>
    <row r="232" spans="9:13">
      <c r="I232" s="5"/>
      <c r="J232" s="5"/>
      <c r="K232" s="4"/>
      <c r="L232" s="4"/>
      <c r="M232" s="4"/>
    </row>
    <row r="233" spans="9:13">
      <c r="I233" s="5"/>
      <c r="J233" s="5"/>
      <c r="K233" s="4"/>
      <c r="L233" s="4"/>
      <c r="M233" s="4"/>
    </row>
    <row r="234" spans="9:13">
      <c r="I234" s="5"/>
      <c r="J234" s="5"/>
      <c r="K234" s="4"/>
      <c r="L234" s="4"/>
      <c r="M234" s="4"/>
    </row>
    <row r="235" spans="9:13">
      <c r="I235" s="5"/>
      <c r="J235" s="5"/>
      <c r="K235" s="4"/>
      <c r="L235" s="4"/>
      <c r="M235" s="4"/>
    </row>
    <row r="236" spans="9:13">
      <c r="I236" s="5"/>
      <c r="J236" s="5"/>
      <c r="K236" s="4"/>
      <c r="L236" s="4"/>
      <c r="M236" s="4"/>
    </row>
    <row r="237" spans="9:13">
      <c r="I237" s="5"/>
      <c r="J237" s="5"/>
      <c r="K237" s="4"/>
      <c r="L237" s="4"/>
      <c r="M237" s="4"/>
    </row>
    <row r="238" spans="9:13">
      <c r="I238" s="5"/>
      <c r="J238" s="5"/>
      <c r="K238" s="4"/>
      <c r="L238" s="4"/>
      <c r="M238" s="4"/>
    </row>
    <row r="239" spans="9:13">
      <c r="I239" s="5"/>
      <c r="J239" s="5"/>
      <c r="K239" s="4"/>
      <c r="L239" s="4"/>
      <c r="M239" s="4"/>
    </row>
    <row r="240" spans="9:13">
      <c r="I240" s="5"/>
      <c r="J240" s="5"/>
      <c r="K240" s="4"/>
      <c r="L240" s="4"/>
      <c r="M240" s="4"/>
    </row>
    <row r="241" spans="9:13">
      <c r="I241" s="5"/>
      <c r="J241" s="5"/>
      <c r="K241" s="4"/>
      <c r="L241" s="4"/>
      <c r="M241" s="4"/>
    </row>
    <row r="242" spans="9:13">
      <c r="I242" s="5"/>
      <c r="J242" s="5"/>
      <c r="K242" s="4"/>
      <c r="L242" s="4"/>
      <c r="M242" s="4"/>
    </row>
    <row r="243" spans="9:13">
      <c r="I243" s="5"/>
      <c r="J243" s="5"/>
      <c r="K243" s="4"/>
      <c r="L243" s="4"/>
      <c r="M243" s="4"/>
    </row>
    <row r="244" spans="9:13">
      <c r="I244" s="5"/>
      <c r="J244" s="5"/>
      <c r="K244" s="4"/>
      <c r="L244" s="4"/>
      <c r="M244" s="4"/>
    </row>
    <row r="245" spans="9:13">
      <c r="I245" s="5"/>
      <c r="J245" s="5"/>
      <c r="K245" s="4"/>
      <c r="L245" s="4"/>
      <c r="M245" s="4"/>
    </row>
    <row r="246" spans="9:13">
      <c r="I246" s="5"/>
      <c r="J246" s="5"/>
      <c r="K246" s="4"/>
      <c r="L246" s="4"/>
      <c r="M246" s="4"/>
    </row>
    <row r="247" spans="9:13">
      <c r="I247" s="5"/>
      <c r="J247" s="5"/>
      <c r="K247" s="4"/>
      <c r="L247" s="4"/>
      <c r="M247" s="4"/>
    </row>
    <row r="248" spans="9:13">
      <c r="I248" s="5"/>
      <c r="J248" s="5"/>
      <c r="K248" s="4"/>
      <c r="L248" s="4"/>
      <c r="M248" s="4"/>
    </row>
    <row r="249" spans="9:13">
      <c r="I249" s="5"/>
      <c r="J249" s="5"/>
      <c r="K249" s="4"/>
      <c r="L249" s="4"/>
      <c r="M249" s="4"/>
    </row>
    <row r="250" spans="9:13">
      <c r="I250" s="5"/>
      <c r="J250" s="5"/>
      <c r="K250" s="4"/>
      <c r="L250" s="4"/>
      <c r="M250" s="4"/>
    </row>
    <row r="251" spans="9:13">
      <c r="I251" s="5"/>
      <c r="J251" s="5"/>
      <c r="K251" s="4"/>
      <c r="L251" s="4"/>
      <c r="M251" s="4"/>
    </row>
    <row r="252" spans="9:13">
      <c r="I252" s="5"/>
      <c r="J252" s="5"/>
      <c r="K252" s="4"/>
      <c r="L252" s="4"/>
      <c r="M252" s="4"/>
    </row>
    <row r="253" spans="9:13">
      <c r="I253" s="5"/>
      <c r="J253" s="5"/>
      <c r="K253" s="4"/>
      <c r="L253" s="4"/>
      <c r="M25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64CC6-BA87-0F4F-A862-7BAA92EB37B8}">
  <dimension ref="A1:S21"/>
  <sheetViews>
    <sheetView workbookViewId="0">
      <selection activeCell="D2" sqref="D2"/>
    </sheetView>
  </sheetViews>
  <sheetFormatPr baseColWidth="10" defaultRowHeight="16"/>
  <cols>
    <col min="1" max="1" width="26.1640625" bestFit="1" customWidth="1"/>
    <col min="2" max="2" width="7.33203125" bestFit="1" customWidth="1"/>
    <col min="3" max="3" width="17.5" bestFit="1" customWidth="1"/>
    <col min="4" max="4" width="7.1640625" bestFit="1" customWidth="1"/>
    <col min="5" max="5" width="18.5" bestFit="1" customWidth="1"/>
    <col min="6" max="6" width="7.33203125" bestFit="1" customWidth="1"/>
    <col min="7" max="7" width="14.1640625" bestFit="1" customWidth="1"/>
    <col min="8" max="8" width="6.1640625" bestFit="1" customWidth="1"/>
    <col min="9" max="9" width="30.6640625" bestFit="1" customWidth="1"/>
    <col min="10" max="10" width="7.33203125" bestFit="1" customWidth="1"/>
    <col min="11" max="11" width="29.83203125" bestFit="1" customWidth="1"/>
    <col min="12" max="12" width="7.1640625" bestFit="1" customWidth="1"/>
    <col min="13" max="13" width="51.1640625" bestFit="1" customWidth="1"/>
    <col min="14" max="14" width="7.33203125" bestFit="1" customWidth="1"/>
    <col min="15" max="15" width="33.83203125" bestFit="1" customWidth="1"/>
    <col min="16" max="16" width="7.1640625" bestFit="1" customWidth="1"/>
    <col min="17" max="17" width="27.6640625" bestFit="1" customWidth="1"/>
    <col min="18" max="18" width="7.33203125" bestFit="1" customWidth="1"/>
  </cols>
  <sheetData>
    <row r="1" spans="1:19">
      <c r="A1" s="8" t="s">
        <v>3</v>
      </c>
      <c r="B1" s="19">
        <f>SUM(B2:B2)/COUNT(B2:B2)</f>
        <v>12.67</v>
      </c>
      <c r="C1" s="8" t="s">
        <v>9</v>
      </c>
      <c r="D1" s="19">
        <f>SUM(D2:D5)/COUNT(D2:D5)</f>
        <v>8.6550000000000011</v>
      </c>
      <c r="E1" s="8" t="s">
        <v>4</v>
      </c>
      <c r="F1" s="19">
        <f>SUM(F2:F8)/COUNT(F2:F8)</f>
        <v>14.654285714285715</v>
      </c>
      <c r="G1" s="8" t="s">
        <v>5</v>
      </c>
      <c r="H1" s="19">
        <f>SUM(H2:H2)/COUNT(H2:H2)</f>
        <v>2.4900000000000002</v>
      </c>
      <c r="I1" s="8" t="s">
        <v>1</v>
      </c>
      <c r="J1" s="19">
        <f>SUM(J2:J10)/COUNT(J2:J10)</f>
        <v>15.821111111111113</v>
      </c>
      <c r="K1" s="8" t="s">
        <v>2</v>
      </c>
      <c r="L1" s="19">
        <f>SUM(L2:L4)/COUNT(L2:L4)</f>
        <v>8.7200000000000006</v>
      </c>
      <c r="M1" s="8" t="s">
        <v>0</v>
      </c>
      <c r="N1" s="19">
        <f>SUM(N2:N21)/COUNT(N2:N21)</f>
        <v>13.295499999999999</v>
      </c>
      <c r="O1" s="8" t="s">
        <v>7</v>
      </c>
      <c r="P1" s="19">
        <f>SUM(P2:P8)/COUNT(P2:P8)</f>
        <v>8.3671428571428574</v>
      </c>
      <c r="Q1" s="8" t="s">
        <v>8</v>
      </c>
      <c r="R1" s="19">
        <f>SUM(R2:R9)/COUNT(R2:R9)</f>
        <v>12.005000000000001</v>
      </c>
      <c r="S1" s="9"/>
    </row>
    <row r="2" spans="1:19">
      <c r="A2" s="18" t="s">
        <v>33</v>
      </c>
      <c r="B2" s="17">
        <v>12.67</v>
      </c>
      <c r="C2" t="s">
        <v>40</v>
      </c>
      <c r="D2" s="17">
        <v>13.13</v>
      </c>
      <c r="E2" s="18" t="s">
        <v>43</v>
      </c>
      <c r="F2" s="17">
        <v>25.05</v>
      </c>
      <c r="G2" t="s">
        <v>50</v>
      </c>
      <c r="H2" s="17">
        <v>2.4900000000000002</v>
      </c>
      <c r="I2" t="s">
        <v>25</v>
      </c>
      <c r="J2" s="17">
        <v>13.25</v>
      </c>
      <c r="K2" t="s">
        <v>34</v>
      </c>
      <c r="L2" s="20">
        <v>12.79</v>
      </c>
      <c r="M2" t="s">
        <v>13</v>
      </c>
      <c r="N2" s="20">
        <v>9.01</v>
      </c>
      <c r="O2" s="18" t="s">
        <v>30</v>
      </c>
      <c r="P2" s="20">
        <v>11.63</v>
      </c>
      <c r="Q2" t="s">
        <v>32</v>
      </c>
      <c r="R2" s="20">
        <v>11.83</v>
      </c>
    </row>
    <row r="3" spans="1:19">
      <c r="C3" t="s">
        <v>41</v>
      </c>
      <c r="D3" s="17">
        <v>8.3000000000000007</v>
      </c>
      <c r="E3" s="18" t="s">
        <v>44</v>
      </c>
      <c r="F3" s="17">
        <v>14.81</v>
      </c>
      <c r="I3" t="s">
        <v>26</v>
      </c>
      <c r="J3" s="17">
        <v>14.67</v>
      </c>
      <c r="K3" t="s">
        <v>56</v>
      </c>
      <c r="L3" s="20">
        <v>4.4800000000000004</v>
      </c>
      <c r="M3" t="s">
        <v>14</v>
      </c>
      <c r="N3" s="20">
        <v>12.1</v>
      </c>
      <c r="O3" s="18" t="s">
        <v>29</v>
      </c>
      <c r="P3" s="20">
        <v>0.19</v>
      </c>
      <c r="Q3" t="s">
        <v>70</v>
      </c>
      <c r="R3" s="20">
        <v>8.6</v>
      </c>
    </row>
    <row r="4" spans="1:19">
      <c r="C4" t="s">
        <v>42</v>
      </c>
      <c r="D4" s="17">
        <v>12.99</v>
      </c>
      <c r="E4" s="18" t="s">
        <v>45</v>
      </c>
      <c r="F4" s="17">
        <v>6.86</v>
      </c>
      <c r="I4" t="s">
        <v>27</v>
      </c>
      <c r="J4" s="17">
        <v>19.690000000000001</v>
      </c>
      <c r="K4" t="s">
        <v>57</v>
      </c>
      <c r="L4" s="20">
        <v>8.89</v>
      </c>
      <c r="M4" t="s">
        <v>15</v>
      </c>
      <c r="N4" s="20">
        <v>17.329999999999998</v>
      </c>
      <c r="O4" s="18" t="s">
        <v>31</v>
      </c>
      <c r="P4" s="20">
        <v>9.7899999999999991</v>
      </c>
      <c r="Q4" t="s">
        <v>71</v>
      </c>
      <c r="R4" s="20">
        <v>11.17</v>
      </c>
    </row>
    <row r="5" spans="1:19">
      <c r="C5" t="s">
        <v>12</v>
      </c>
      <c r="D5" s="17">
        <v>0.2</v>
      </c>
      <c r="E5" s="18" t="s">
        <v>46</v>
      </c>
      <c r="F5" s="17">
        <v>9.5299999999999994</v>
      </c>
      <c r="I5" t="s">
        <v>28</v>
      </c>
      <c r="J5" s="17">
        <v>6.02</v>
      </c>
      <c r="M5" t="s">
        <v>16</v>
      </c>
      <c r="N5" s="20">
        <v>14.83</v>
      </c>
      <c r="O5" s="18" t="s">
        <v>66</v>
      </c>
      <c r="P5" s="20">
        <v>12.07</v>
      </c>
      <c r="Q5" t="s">
        <v>72</v>
      </c>
      <c r="R5" s="20">
        <v>12.77</v>
      </c>
    </row>
    <row r="6" spans="1:19">
      <c r="E6" s="18" t="s">
        <v>47</v>
      </c>
      <c r="F6" s="17">
        <v>11.15</v>
      </c>
      <c r="I6" t="s">
        <v>51</v>
      </c>
      <c r="J6" s="17">
        <v>11.68</v>
      </c>
      <c r="M6" t="s">
        <v>17</v>
      </c>
      <c r="N6" s="20">
        <v>6.48</v>
      </c>
      <c r="O6" s="18" t="s">
        <v>67</v>
      </c>
      <c r="P6" s="20">
        <v>11.41</v>
      </c>
      <c r="Q6" t="s">
        <v>73</v>
      </c>
      <c r="R6" s="20">
        <v>11.94</v>
      </c>
    </row>
    <row r="7" spans="1:19">
      <c r="E7" s="18" t="s">
        <v>48</v>
      </c>
      <c r="F7" s="17">
        <v>21.35</v>
      </c>
      <c r="I7" t="s">
        <v>52</v>
      </c>
      <c r="J7" s="17">
        <v>20.62</v>
      </c>
      <c r="M7" t="s">
        <v>18</v>
      </c>
      <c r="N7" s="20">
        <v>13.86</v>
      </c>
      <c r="O7" s="18" t="s">
        <v>68</v>
      </c>
      <c r="P7" s="20">
        <v>0.68</v>
      </c>
      <c r="Q7" t="s">
        <v>74</v>
      </c>
      <c r="R7" s="20">
        <v>19.7</v>
      </c>
    </row>
    <row r="8" spans="1:19">
      <c r="E8" s="18" t="s">
        <v>49</v>
      </c>
      <c r="F8" s="17">
        <v>13.83</v>
      </c>
      <c r="I8" t="s">
        <v>53</v>
      </c>
      <c r="J8" s="17">
        <v>19.68</v>
      </c>
      <c r="M8" t="s">
        <v>19</v>
      </c>
      <c r="N8" s="20">
        <v>6.79</v>
      </c>
      <c r="O8" s="18" t="s">
        <v>69</v>
      </c>
      <c r="P8" s="20">
        <v>12.8</v>
      </c>
      <c r="Q8" t="s">
        <v>75</v>
      </c>
      <c r="R8" s="20">
        <v>12.04</v>
      </c>
    </row>
    <row r="9" spans="1:19">
      <c r="I9" t="s">
        <v>54</v>
      </c>
      <c r="J9" s="17">
        <v>23.69</v>
      </c>
      <c r="M9" t="s">
        <v>20</v>
      </c>
      <c r="N9" s="20">
        <v>13.3</v>
      </c>
      <c r="Q9" t="s">
        <v>76</v>
      </c>
      <c r="R9" s="20">
        <v>7.99</v>
      </c>
    </row>
    <row r="10" spans="1:19">
      <c r="I10" t="s">
        <v>55</v>
      </c>
      <c r="J10" s="17">
        <v>13.09</v>
      </c>
      <c r="M10" t="s">
        <v>21</v>
      </c>
      <c r="N10" s="20">
        <v>14.04</v>
      </c>
    </row>
    <row r="11" spans="1:19">
      <c r="J11" s="17"/>
      <c r="M11" t="s">
        <v>22</v>
      </c>
      <c r="N11" s="20">
        <v>13.08</v>
      </c>
    </row>
    <row r="12" spans="1:19">
      <c r="M12" t="s">
        <v>23</v>
      </c>
      <c r="N12" s="20">
        <v>14.12</v>
      </c>
    </row>
    <row r="13" spans="1:19">
      <c r="M13" t="s">
        <v>24</v>
      </c>
      <c r="N13" s="20">
        <v>15.81</v>
      </c>
    </row>
    <row r="14" spans="1:19">
      <c r="M14" t="s">
        <v>58</v>
      </c>
      <c r="N14" s="20">
        <v>14.34</v>
      </c>
    </row>
    <row r="15" spans="1:19">
      <c r="M15" t="s">
        <v>59</v>
      </c>
      <c r="N15" s="20">
        <v>11.88</v>
      </c>
    </row>
    <row r="16" spans="1:19">
      <c r="M16" t="s">
        <v>60</v>
      </c>
      <c r="N16" s="20">
        <v>20.59</v>
      </c>
    </row>
    <row r="17" spans="13:14">
      <c r="M17" t="s">
        <v>61</v>
      </c>
      <c r="N17" s="20">
        <v>14.14</v>
      </c>
    </row>
    <row r="18" spans="13:14">
      <c r="M18" t="s">
        <v>62</v>
      </c>
      <c r="N18" s="20">
        <v>11.57</v>
      </c>
    </row>
    <row r="19" spans="13:14">
      <c r="M19" t="s">
        <v>63</v>
      </c>
      <c r="N19" s="20">
        <v>13.61</v>
      </c>
    </row>
    <row r="20" spans="13:14">
      <c r="M20" t="s">
        <v>64</v>
      </c>
      <c r="N20" s="20">
        <v>15.39</v>
      </c>
    </row>
    <row r="21" spans="13:14">
      <c r="M21" t="s">
        <v>65</v>
      </c>
      <c r="N21" s="20">
        <v>13.64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E737F-6885-344A-8339-88CF3D20FD55}">
  <dimension ref="A1:AM115"/>
  <sheetViews>
    <sheetView workbookViewId="0">
      <selection activeCell="D3" sqref="D3"/>
    </sheetView>
  </sheetViews>
  <sheetFormatPr baseColWidth="10" defaultRowHeight="16"/>
  <cols>
    <col min="1" max="1" width="26.1640625" style="11" bestFit="1" customWidth="1"/>
    <col min="2" max="2" width="6.1640625" style="11" bestFit="1" customWidth="1"/>
    <col min="3" max="3" width="17.5" style="11" bestFit="1" customWidth="1"/>
    <col min="4" max="4" width="6.1640625" style="11" bestFit="1" customWidth="1"/>
    <col min="5" max="5" width="18.5" style="11" bestFit="1" customWidth="1"/>
    <col min="6" max="6" width="7.33203125" style="11" bestFit="1" customWidth="1"/>
    <col min="7" max="7" width="14.1640625" style="11" bestFit="1" customWidth="1"/>
    <col min="8" max="8" width="6.1640625" style="11" bestFit="1" customWidth="1"/>
    <col min="9" max="9" width="30.6640625" style="11" bestFit="1" customWidth="1"/>
    <col min="10" max="10" width="7.33203125" style="11" bestFit="1" customWidth="1"/>
    <col min="11" max="11" width="29.83203125" style="11" bestFit="1" customWidth="1"/>
    <col min="12" max="12" width="6.1640625" style="11" bestFit="1" customWidth="1"/>
    <col min="13" max="13" width="51.1640625" style="11" bestFit="1" customWidth="1"/>
    <col min="14" max="14" width="7.33203125" style="11" bestFit="1" customWidth="1"/>
    <col min="15" max="15" width="33.83203125" style="11" bestFit="1" customWidth="1"/>
    <col min="16" max="16" width="6.1640625" style="11" bestFit="1" customWidth="1"/>
    <col min="17" max="17" width="27.6640625" style="11" bestFit="1" customWidth="1"/>
    <col min="18" max="18" width="7.33203125" style="11" bestFit="1" customWidth="1"/>
    <col min="19" max="19" width="9.5" bestFit="1" customWidth="1"/>
    <col min="20" max="20" width="22" bestFit="1" customWidth="1"/>
    <col min="21" max="21" width="51.1640625" bestFit="1" customWidth="1"/>
    <col min="22" max="22" width="8.33203125" bestFit="1" customWidth="1"/>
    <col min="23" max="23" width="8.83203125" bestFit="1" customWidth="1"/>
    <col min="24" max="24" width="33.83203125" bestFit="1" customWidth="1"/>
    <col min="25" max="25" width="8" bestFit="1" customWidth="1"/>
    <col min="26" max="26" width="8.83203125" bestFit="1" customWidth="1"/>
    <col min="27" max="27" width="20.1640625" bestFit="1" customWidth="1"/>
  </cols>
  <sheetData>
    <row r="1" spans="1:39">
      <c r="A1" s="8" t="s">
        <v>3</v>
      </c>
      <c r="B1" s="14">
        <f>SUM(B2:B2)/COUNT(B2:B2)</f>
        <v>0.12</v>
      </c>
      <c r="C1" s="8" t="s">
        <v>9</v>
      </c>
      <c r="D1" s="9">
        <f>SUM(D2:D5)/COUNT(D2:D5)</f>
        <v>7.7499999999999999E-2</v>
      </c>
      <c r="E1" s="8" t="s">
        <v>4</v>
      </c>
      <c r="F1" s="9">
        <f>SUM(F2:F8)/COUNT(F2:F8)</f>
        <v>0.13714285714285715</v>
      </c>
      <c r="G1" s="8" t="s">
        <v>5</v>
      </c>
      <c r="H1" s="9">
        <f>SUM(H2:H2)/COUNT(H2:H2)</f>
        <v>0.02</v>
      </c>
      <c r="I1" s="8" t="s">
        <v>1</v>
      </c>
      <c r="J1" s="9">
        <f>SUM(J2:J10)/COUNT(J2:J10)</f>
        <v>0.14777777777777779</v>
      </c>
      <c r="K1" s="8" t="s">
        <v>2</v>
      </c>
      <c r="L1" s="9">
        <f>SUM(L2:L4)/COUNT(L2:L4)</f>
        <v>0.08</v>
      </c>
      <c r="M1" s="8" t="s">
        <v>0</v>
      </c>
      <c r="N1" s="9">
        <f>SUM(N2:N21)/COUNT(N2:N21)</f>
        <v>0.12299999999999997</v>
      </c>
      <c r="O1" s="8" t="s">
        <v>7</v>
      </c>
      <c r="P1" s="9">
        <f>SUM(P2:P8)/COUNT(P2:P8)</f>
        <v>7.571428571428572E-2</v>
      </c>
      <c r="Q1" s="8" t="s">
        <v>8</v>
      </c>
      <c r="R1" s="24">
        <f>SUM(R2:R9)/COUNT(R2:R9)</f>
        <v>0.11124999999999999</v>
      </c>
      <c r="S1" s="24"/>
      <c r="AB1" s="9"/>
      <c r="AG1" s="13"/>
      <c r="AJ1" s="13"/>
      <c r="AM1" s="13"/>
    </row>
    <row r="2" spans="1:39">
      <c r="A2" s="12" t="s">
        <v>33</v>
      </c>
      <c r="B2" s="10">
        <v>0.12</v>
      </c>
      <c r="C2" s="12" t="s">
        <v>40</v>
      </c>
      <c r="D2" s="10">
        <v>0.12</v>
      </c>
      <c r="E2" s="12" t="s">
        <v>43</v>
      </c>
      <c r="F2" s="10">
        <v>0.24</v>
      </c>
      <c r="G2" s="12" t="s">
        <v>50</v>
      </c>
      <c r="H2" s="10">
        <v>0.02</v>
      </c>
      <c r="I2" s="12" t="s">
        <v>25</v>
      </c>
      <c r="J2" s="10">
        <v>0.12</v>
      </c>
      <c r="K2" s="12" t="s">
        <v>34</v>
      </c>
      <c r="L2" s="10">
        <v>0.12</v>
      </c>
      <c r="M2" s="12" t="s">
        <v>13</v>
      </c>
      <c r="N2" s="10">
        <v>0.08</v>
      </c>
      <c r="O2" s="12" t="s">
        <v>30</v>
      </c>
      <c r="P2" s="10">
        <v>0.11</v>
      </c>
      <c r="Q2" s="12" t="s">
        <v>32</v>
      </c>
      <c r="R2" s="10">
        <v>0.11</v>
      </c>
      <c r="AK2" s="5"/>
      <c r="AL2" s="4"/>
      <c r="AM2" s="4"/>
    </row>
    <row r="3" spans="1:39">
      <c r="A3" s="10"/>
      <c r="C3" s="12" t="s">
        <v>41</v>
      </c>
      <c r="D3" s="10">
        <v>7.0000000000000007E-2</v>
      </c>
      <c r="E3" s="12" t="s">
        <v>44</v>
      </c>
      <c r="F3" s="10">
        <v>0.14000000000000001</v>
      </c>
      <c r="I3" s="12" t="s">
        <v>26</v>
      </c>
      <c r="J3" s="10">
        <v>0.14000000000000001</v>
      </c>
      <c r="K3" s="12" t="s">
        <v>56</v>
      </c>
      <c r="L3" s="10">
        <v>0.04</v>
      </c>
      <c r="M3" s="12" t="s">
        <v>14</v>
      </c>
      <c r="N3" s="10">
        <v>0.11</v>
      </c>
      <c r="O3" s="12" t="s">
        <v>29</v>
      </c>
      <c r="P3" s="10">
        <v>0</v>
      </c>
      <c r="Q3" s="12" t="s">
        <v>70</v>
      </c>
      <c r="R3" s="10">
        <v>0.08</v>
      </c>
      <c r="AD3" s="4"/>
      <c r="AE3" s="4"/>
      <c r="AF3" s="5"/>
      <c r="AG3" s="4"/>
      <c r="AH3" s="4"/>
      <c r="AK3" s="5"/>
      <c r="AL3" s="4"/>
      <c r="AM3" s="4"/>
    </row>
    <row r="4" spans="1:39">
      <c r="A4" s="10"/>
      <c r="B4" s="12"/>
      <c r="C4" s="12" t="s">
        <v>42</v>
      </c>
      <c r="D4" s="10">
        <v>0.12</v>
      </c>
      <c r="E4" s="12" t="s">
        <v>45</v>
      </c>
      <c r="F4" s="10">
        <v>0.06</v>
      </c>
      <c r="I4" s="12" t="s">
        <v>27</v>
      </c>
      <c r="J4" s="10">
        <v>0.19</v>
      </c>
      <c r="K4" s="12" t="s">
        <v>57</v>
      </c>
      <c r="L4" s="10">
        <v>0.08</v>
      </c>
      <c r="M4" s="12" t="s">
        <v>15</v>
      </c>
      <c r="N4" s="10">
        <v>0.16</v>
      </c>
      <c r="O4" s="12" t="s">
        <v>31</v>
      </c>
      <c r="P4" s="10">
        <v>0.09</v>
      </c>
      <c r="Q4" s="12" t="s">
        <v>71</v>
      </c>
      <c r="R4" s="10">
        <v>0.1</v>
      </c>
      <c r="AD4" s="4"/>
      <c r="AE4" s="4"/>
      <c r="AF4" s="5"/>
      <c r="AG4" s="4"/>
      <c r="AH4" s="4"/>
      <c r="AK4" s="5"/>
      <c r="AL4" s="4"/>
      <c r="AM4" s="4"/>
    </row>
    <row r="5" spans="1:39">
      <c r="A5" s="10"/>
      <c r="B5" s="12"/>
      <c r="C5" s="12" t="s">
        <v>12</v>
      </c>
      <c r="D5" s="10">
        <v>0</v>
      </c>
      <c r="E5" s="12" t="s">
        <v>46</v>
      </c>
      <c r="F5" s="10">
        <v>0.09</v>
      </c>
      <c r="I5" s="12" t="s">
        <v>28</v>
      </c>
      <c r="J5" s="10">
        <v>0.05</v>
      </c>
      <c r="L5" s="12"/>
      <c r="M5" s="12" t="s">
        <v>16</v>
      </c>
      <c r="N5" s="10">
        <v>0.14000000000000001</v>
      </c>
      <c r="O5" s="12" t="s">
        <v>66</v>
      </c>
      <c r="P5" s="10">
        <v>0.11</v>
      </c>
      <c r="Q5" s="12" t="s">
        <v>72</v>
      </c>
      <c r="R5" s="10">
        <v>0.12</v>
      </c>
      <c r="AD5" s="4"/>
      <c r="AE5" s="4"/>
      <c r="AF5" s="5"/>
      <c r="AG5" s="4"/>
      <c r="AH5" s="4"/>
      <c r="AK5" s="5"/>
      <c r="AL5" s="4"/>
      <c r="AM5" s="4"/>
    </row>
    <row r="6" spans="1:39">
      <c r="A6" s="10"/>
      <c r="B6" s="12"/>
      <c r="D6" s="10"/>
      <c r="E6" s="12" t="s">
        <v>47</v>
      </c>
      <c r="F6" s="10">
        <v>0.1</v>
      </c>
      <c r="I6" s="12" t="s">
        <v>51</v>
      </c>
      <c r="J6" s="10">
        <v>0.11</v>
      </c>
      <c r="L6" s="12"/>
      <c r="M6" s="12" t="s">
        <v>17</v>
      </c>
      <c r="N6" s="10">
        <v>0.06</v>
      </c>
      <c r="O6" s="12" t="s">
        <v>67</v>
      </c>
      <c r="P6" s="10">
        <v>0.1</v>
      </c>
      <c r="Q6" s="12" t="s">
        <v>73</v>
      </c>
      <c r="R6" s="10">
        <v>0.11</v>
      </c>
      <c r="AD6" s="4"/>
      <c r="AE6" s="4"/>
      <c r="AF6" s="5"/>
      <c r="AG6" s="4"/>
      <c r="AH6" s="4"/>
      <c r="AK6" s="5"/>
      <c r="AL6" s="4"/>
      <c r="AM6" s="4"/>
    </row>
    <row r="7" spans="1:39">
      <c r="D7" s="10"/>
      <c r="E7" s="12" t="s">
        <v>48</v>
      </c>
      <c r="F7" s="10">
        <v>0.2</v>
      </c>
      <c r="I7" s="12" t="s">
        <v>52</v>
      </c>
      <c r="J7" s="10">
        <v>0.19</v>
      </c>
      <c r="M7" s="12" t="s">
        <v>18</v>
      </c>
      <c r="N7" s="10">
        <v>0.13</v>
      </c>
      <c r="O7" s="12" t="s">
        <v>68</v>
      </c>
      <c r="P7" s="10">
        <v>0</v>
      </c>
      <c r="Q7" s="12" t="s">
        <v>74</v>
      </c>
      <c r="R7" s="10">
        <v>0.19</v>
      </c>
      <c r="AD7" s="4"/>
      <c r="AE7" s="4"/>
      <c r="AF7" s="5"/>
      <c r="AG7" s="4"/>
      <c r="AH7" s="4"/>
      <c r="AK7" s="5"/>
      <c r="AL7" s="4"/>
      <c r="AM7" s="4"/>
    </row>
    <row r="8" spans="1:39">
      <c r="D8" s="10"/>
      <c r="E8" s="12" t="s">
        <v>49</v>
      </c>
      <c r="F8" s="10">
        <v>0.13</v>
      </c>
      <c r="I8" s="12" t="s">
        <v>53</v>
      </c>
      <c r="J8" s="10">
        <v>0.19</v>
      </c>
      <c r="M8" s="12" t="s">
        <v>19</v>
      </c>
      <c r="N8" s="10">
        <v>0.06</v>
      </c>
      <c r="O8" s="12" t="s">
        <v>69</v>
      </c>
      <c r="P8" s="10">
        <v>0.12</v>
      </c>
      <c r="Q8" s="12" t="s">
        <v>75</v>
      </c>
      <c r="R8" s="10">
        <v>0.11</v>
      </c>
      <c r="AD8" s="4"/>
      <c r="AE8" s="4"/>
      <c r="AF8" s="5"/>
      <c r="AG8" s="4"/>
      <c r="AH8" s="4"/>
      <c r="AK8" s="5"/>
      <c r="AL8" s="4"/>
      <c r="AM8" s="4"/>
    </row>
    <row r="9" spans="1:39">
      <c r="D9" s="10"/>
      <c r="E9" s="12"/>
      <c r="F9" s="12"/>
      <c r="G9" s="10"/>
      <c r="H9" s="12"/>
      <c r="I9" s="12" t="s">
        <v>54</v>
      </c>
      <c r="J9" s="10">
        <v>0.22</v>
      </c>
      <c r="M9" s="12" t="s">
        <v>20</v>
      </c>
      <c r="N9" s="10">
        <v>0.12</v>
      </c>
      <c r="P9" s="10"/>
      <c r="Q9" s="12" t="s">
        <v>76</v>
      </c>
      <c r="R9" s="10">
        <v>7.0000000000000007E-2</v>
      </c>
      <c r="V9" s="5"/>
      <c r="W9" s="4"/>
      <c r="X9" s="4"/>
      <c r="AD9" s="4"/>
      <c r="AE9" s="4"/>
      <c r="AF9" s="5"/>
      <c r="AG9" s="4"/>
      <c r="AH9" s="4"/>
      <c r="AK9" s="5"/>
      <c r="AL9" s="4"/>
      <c r="AM9" s="4"/>
    </row>
    <row r="10" spans="1:39">
      <c r="D10" s="10"/>
      <c r="E10" s="12"/>
      <c r="F10" s="12"/>
      <c r="G10" s="10"/>
      <c r="H10" s="12"/>
      <c r="I10" s="12" t="s">
        <v>55</v>
      </c>
      <c r="J10" s="10">
        <v>0.12</v>
      </c>
      <c r="M10" s="12" t="s">
        <v>21</v>
      </c>
      <c r="N10" s="10">
        <v>0.13</v>
      </c>
      <c r="P10" s="10"/>
      <c r="Q10" s="10"/>
      <c r="R10" s="12"/>
      <c r="V10" s="5"/>
      <c r="W10" s="4"/>
      <c r="X10" s="4"/>
      <c r="AD10" s="4"/>
      <c r="AE10" s="4"/>
      <c r="AF10" s="5"/>
      <c r="AG10" s="4"/>
      <c r="AH10" s="4"/>
      <c r="AK10" s="5"/>
      <c r="AL10" s="4"/>
      <c r="AM10" s="4"/>
    </row>
    <row r="11" spans="1:39">
      <c r="D11" s="10"/>
      <c r="E11" s="12"/>
      <c r="F11" s="12"/>
      <c r="G11" s="10"/>
      <c r="H11" s="12"/>
      <c r="I11" s="10"/>
      <c r="J11" s="12"/>
      <c r="M11" s="12" t="s">
        <v>22</v>
      </c>
      <c r="N11" s="10">
        <v>0.12</v>
      </c>
      <c r="P11" s="10"/>
      <c r="Q11" s="12"/>
      <c r="R11" s="12"/>
      <c r="V11" s="5"/>
      <c r="W11" s="4"/>
      <c r="X11" s="4"/>
      <c r="Y11" s="5"/>
      <c r="Z11" s="4"/>
      <c r="AA11" s="4"/>
      <c r="AD11" s="4"/>
      <c r="AE11" s="4"/>
      <c r="AF11" s="5"/>
      <c r="AG11" s="4"/>
      <c r="AH11" s="4"/>
      <c r="AK11" s="5"/>
      <c r="AL11" s="4"/>
      <c r="AM11" s="4"/>
    </row>
    <row r="12" spans="1:39">
      <c r="D12" s="10"/>
      <c r="E12" s="12"/>
      <c r="F12" s="12"/>
      <c r="G12" s="10"/>
      <c r="H12" s="12"/>
      <c r="M12" s="12" t="s">
        <v>23</v>
      </c>
      <c r="N12" s="10">
        <v>0.13</v>
      </c>
      <c r="P12" s="10"/>
      <c r="R12" s="12"/>
      <c r="V12" s="5"/>
      <c r="W12" s="4"/>
      <c r="X12" s="4"/>
      <c r="Y12" s="5"/>
      <c r="Z12" s="4"/>
      <c r="AA12" s="4"/>
      <c r="AD12" s="4"/>
      <c r="AE12" s="4"/>
      <c r="AF12" s="5"/>
      <c r="AG12" s="4"/>
      <c r="AH12" s="4"/>
      <c r="AK12" s="5"/>
      <c r="AL12" s="4"/>
      <c r="AM12" s="4"/>
    </row>
    <row r="13" spans="1:39">
      <c r="G13" s="10"/>
      <c r="H13" s="12"/>
      <c r="M13" s="12" t="s">
        <v>24</v>
      </c>
      <c r="N13" s="10">
        <v>0.15</v>
      </c>
      <c r="P13" s="10"/>
      <c r="R13" s="12"/>
      <c r="V13" s="5"/>
      <c r="W13" s="4"/>
      <c r="X13" s="4"/>
      <c r="Y13" s="5"/>
      <c r="Z13" s="4"/>
      <c r="AA13" s="4"/>
      <c r="AD13" s="4"/>
      <c r="AE13" s="4"/>
      <c r="AF13" s="5"/>
      <c r="AG13" s="4"/>
      <c r="AH13" s="4"/>
      <c r="AK13" s="5"/>
      <c r="AL13" s="4"/>
      <c r="AM13" s="4"/>
    </row>
    <row r="14" spans="1:39">
      <c r="B14" s="23"/>
      <c r="C14" s="12"/>
      <c r="D14" s="12"/>
      <c r="G14" s="10"/>
      <c r="H14" s="12"/>
      <c r="M14" s="12" t="s">
        <v>58</v>
      </c>
      <c r="N14" s="10">
        <v>0.13</v>
      </c>
      <c r="R14" s="12"/>
      <c r="V14" s="5"/>
      <c r="W14" s="4"/>
      <c r="X14" s="4"/>
      <c r="Y14" s="5"/>
      <c r="Z14" s="4"/>
      <c r="AA14" s="4"/>
      <c r="AD14" s="4"/>
      <c r="AE14" s="4"/>
      <c r="AF14" s="5"/>
      <c r="AG14" s="4"/>
      <c r="AH14" s="4"/>
      <c r="AK14" s="5"/>
      <c r="AL14" s="4"/>
      <c r="AM14" s="4"/>
    </row>
    <row r="15" spans="1:39">
      <c r="B15" s="23"/>
      <c r="C15" s="12"/>
      <c r="D15" s="12"/>
      <c r="G15" s="10"/>
      <c r="H15" s="12"/>
      <c r="M15" s="12" t="s">
        <v>59</v>
      </c>
      <c r="N15" s="10">
        <v>0.11</v>
      </c>
      <c r="R15" s="12"/>
      <c r="V15" s="5"/>
      <c r="W15" s="4"/>
      <c r="X15" s="4"/>
      <c r="Y15" s="5"/>
      <c r="Z15" s="4"/>
      <c r="AA15" s="4"/>
      <c r="AD15" s="4"/>
      <c r="AE15" s="4"/>
      <c r="AF15" s="5"/>
      <c r="AG15" s="4"/>
      <c r="AH15" s="4"/>
      <c r="AK15" s="5"/>
      <c r="AL15" s="4"/>
      <c r="AM15" s="4"/>
    </row>
    <row r="16" spans="1:39">
      <c r="D16" s="10"/>
      <c r="E16" s="12"/>
      <c r="G16" s="10"/>
      <c r="H16" s="12"/>
      <c r="M16" s="12" t="s">
        <v>60</v>
      </c>
      <c r="N16" s="10">
        <v>0.19</v>
      </c>
      <c r="R16" s="12"/>
      <c r="V16" s="5"/>
      <c r="W16" s="4"/>
      <c r="X16" s="4"/>
      <c r="Y16" s="5"/>
      <c r="Z16" s="4"/>
      <c r="AA16" s="4"/>
      <c r="AD16" s="4"/>
      <c r="AE16" s="4"/>
      <c r="AF16" s="5"/>
      <c r="AG16" s="4"/>
      <c r="AH16" s="4"/>
      <c r="AK16" s="5"/>
      <c r="AL16" s="4"/>
      <c r="AM16" s="4"/>
    </row>
    <row r="17" spans="1:39">
      <c r="D17" s="10"/>
      <c r="E17" s="12"/>
      <c r="G17" s="10"/>
      <c r="H17" s="12"/>
      <c r="M17" s="12" t="s">
        <v>61</v>
      </c>
      <c r="N17" s="10">
        <v>0.13</v>
      </c>
      <c r="V17" s="5"/>
      <c r="W17" s="4"/>
      <c r="X17" s="4"/>
      <c r="Y17" s="5"/>
      <c r="Z17" s="4"/>
      <c r="AA17" s="4"/>
      <c r="AD17" s="4"/>
      <c r="AE17" s="4"/>
      <c r="AF17" s="5"/>
      <c r="AG17" s="4"/>
      <c r="AH17" s="4"/>
      <c r="AK17" s="5"/>
      <c r="AL17" s="4"/>
      <c r="AM17" s="4"/>
    </row>
    <row r="18" spans="1:39">
      <c r="A18" s="23"/>
      <c r="B18" s="23"/>
      <c r="C18" s="12"/>
      <c r="D18" s="12"/>
      <c r="E18" s="12"/>
      <c r="G18" s="10"/>
      <c r="H18" s="12"/>
      <c r="M18" s="12" t="s">
        <v>62</v>
      </c>
      <c r="N18" s="10">
        <v>0.11</v>
      </c>
      <c r="V18" s="5"/>
      <c r="W18" s="4"/>
      <c r="X18" s="4"/>
      <c r="Y18" s="5"/>
      <c r="Z18" s="4"/>
      <c r="AA18" s="4"/>
      <c r="AD18" s="4"/>
      <c r="AE18" s="4"/>
      <c r="AF18" s="5"/>
      <c r="AG18" s="4"/>
      <c r="AH18" s="4"/>
      <c r="AK18" s="5"/>
      <c r="AL18" s="4"/>
      <c r="AM18" s="4"/>
    </row>
    <row r="19" spans="1:39">
      <c r="A19" s="23"/>
      <c r="B19" s="23"/>
      <c r="C19" s="12"/>
      <c r="D19" s="12"/>
      <c r="E19" s="12"/>
      <c r="G19" s="10"/>
      <c r="H19" s="12"/>
      <c r="M19" s="12" t="s">
        <v>63</v>
      </c>
      <c r="N19" s="10">
        <v>0.13</v>
      </c>
      <c r="V19" s="5"/>
      <c r="W19" s="4"/>
      <c r="X19" s="4"/>
      <c r="Y19" s="5"/>
      <c r="Z19" s="4"/>
      <c r="AA19" s="4"/>
      <c r="AD19" s="4"/>
      <c r="AE19" s="4"/>
      <c r="AF19" s="5"/>
      <c r="AG19" s="4"/>
      <c r="AH19" s="4"/>
      <c r="AK19" s="5"/>
      <c r="AL19" s="4"/>
      <c r="AM19" s="4"/>
    </row>
    <row r="20" spans="1:39">
      <c r="A20" s="23"/>
      <c r="B20" s="23"/>
      <c r="C20" s="12"/>
      <c r="D20" s="12"/>
      <c r="E20" s="12"/>
      <c r="F20" s="12"/>
      <c r="G20" s="10"/>
      <c r="H20" s="12"/>
      <c r="M20" s="12" t="s">
        <v>64</v>
      </c>
      <c r="N20" s="10">
        <v>0.14000000000000001</v>
      </c>
      <c r="V20" s="5"/>
      <c r="W20" s="4"/>
      <c r="X20" s="4"/>
      <c r="Y20" s="5"/>
      <c r="Z20" s="4"/>
      <c r="AA20" s="4"/>
      <c r="AD20" s="4"/>
      <c r="AE20" s="4"/>
      <c r="AF20" s="5"/>
      <c r="AG20" s="4"/>
      <c r="AH20" s="4"/>
      <c r="AK20" s="5"/>
      <c r="AL20" s="4"/>
      <c r="AM20" s="4"/>
    </row>
    <row r="21" spans="1:39">
      <c r="A21" s="23"/>
      <c r="B21" s="23"/>
      <c r="C21" s="12"/>
      <c r="D21" s="12"/>
      <c r="E21" s="12"/>
      <c r="F21" s="12"/>
      <c r="G21" s="10"/>
      <c r="H21" s="12"/>
      <c r="I21" s="12"/>
      <c r="M21" s="12" t="s">
        <v>65</v>
      </c>
      <c r="N21" s="10">
        <v>0.13</v>
      </c>
      <c r="V21" s="5"/>
      <c r="W21" s="4"/>
      <c r="X21" s="4"/>
      <c r="Y21" s="5"/>
      <c r="Z21" s="4"/>
      <c r="AA21" s="4"/>
      <c r="AD21" s="4"/>
      <c r="AE21" s="4"/>
      <c r="AF21" s="5"/>
      <c r="AG21" s="4"/>
      <c r="AH21" s="4"/>
      <c r="AK21" s="5"/>
      <c r="AL21" s="4"/>
      <c r="AM21" s="4"/>
    </row>
    <row r="22" spans="1:39">
      <c r="A22" s="23"/>
      <c r="B22" s="23"/>
      <c r="C22" s="12"/>
      <c r="D22" s="12"/>
      <c r="E22" s="12"/>
      <c r="G22" s="10"/>
      <c r="H22" s="12"/>
      <c r="I22" s="12"/>
      <c r="M22" s="10"/>
      <c r="N22" s="12"/>
      <c r="V22" s="5"/>
      <c r="W22" s="4"/>
      <c r="X22" s="4"/>
      <c r="Y22" s="5"/>
      <c r="Z22" s="4"/>
      <c r="AA22" s="4"/>
      <c r="AD22" s="4"/>
      <c r="AE22" s="4"/>
      <c r="AF22" s="5"/>
      <c r="AG22" s="4"/>
      <c r="AH22" s="4"/>
      <c r="AK22" s="5"/>
      <c r="AL22" s="4"/>
      <c r="AM22" s="4"/>
    </row>
    <row r="23" spans="1:39">
      <c r="A23" s="23"/>
      <c r="B23" s="23"/>
      <c r="C23" s="12"/>
      <c r="D23" s="12"/>
      <c r="E23" s="12"/>
      <c r="G23" s="10"/>
      <c r="H23" s="12"/>
      <c r="I23" s="12"/>
      <c r="M23" s="10"/>
      <c r="N23" s="12"/>
      <c r="V23" s="5"/>
      <c r="W23" s="4"/>
      <c r="X23" s="4"/>
      <c r="Y23" s="5"/>
      <c r="Z23" s="4"/>
      <c r="AA23" s="4"/>
      <c r="AD23" s="4"/>
      <c r="AE23" s="4"/>
      <c r="AF23" s="5"/>
      <c r="AG23" s="4"/>
      <c r="AH23" s="4"/>
      <c r="AK23" s="5"/>
      <c r="AL23" s="4"/>
      <c r="AM23" s="4"/>
    </row>
    <row r="24" spans="1:39">
      <c r="A24" s="23"/>
      <c r="B24" s="23"/>
      <c r="C24" s="12"/>
      <c r="D24" s="12"/>
      <c r="E24" s="12"/>
      <c r="G24" s="10"/>
      <c r="H24" s="12"/>
      <c r="I24" s="12"/>
      <c r="M24" s="10"/>
      <c r="N24" s="12"/>
      <c r="V24" s="5"/>
      <c r="W24" s="4"/>
      <c r="X24" s="4"/>
      <c r="Y24" s="5"/>
      <c r="Z24" s="4"/>
      <c r="AA24" s="4"/>
      <c r="AD24" s="4"/>
      <c r="AE24" s="4"/>
      <c r="AF24" s="5"/>
      <c r="AG24" s="4"/>
      <c r="AH24" s="4"/>
      <c r="AK24" s="5"/>
      <c r="AL24" s="4"/>
      <c r="AM24" s="4"/>
    </row>
    <row r="25" spans="1:39">
      <c r="A25" s="23"/>
      <c r="B25" s="23"/>
      <c r="C25" s="12"/>
      <c r="D25" s="12"/>
      <c r="E25" s="12"/>
      <c r="G25" s="10"/>
      <c r="H25" s="12"/>
      <c r="I25" s="12"/>
      <c r="M25" s="10"/>
      <c r="N25" s="12"/>
      <c r="O25" s="12"/>
      <c r="S25" s="5"/>
      <c r="T25" s="4"/>
      <c r="U25" s="4"/>
      <c r="V25" s="5"/>
      <c r="W25" s="4"/>
      <c r="X25" s="4"/>
      <c r="Y25" s="5"/>
      <c r="Z25" s="4"/>
      <c r="AA25" s="4"/>
      <c r="AD25" s="4"/>
      <c r="AE25" s="4"/>
      <c r="AF25" s="5"/>
      <c r="AG25" s="4"/>
      <c r="AH25" s="4"/>
      <c r="AK25" s="5"/>
      <c r="AL25" s="4"/>
      <c r="AM25" s="4"/>
    </row>
    <row r="26" spans="1:39">
      <c r="A26" s="23"/>
      <c r="B26" s="23"/>
      <c r="C26" s="12"/>
      <c r="D26" s="12"/>
      <c r="E26" s="12"/>
      <c r="G26" s="10"/>
      <c r="H26" s="12"/>
      <c r="I26" s="12"/>
      <c r="M26" s="10"/>
      <c r="N26" s="12"/>
      <c r="O26" s="12"/>
      <c r="S26" s="5"/>
      <c r="T26" s="4"/>
      <c r="U26" s="4"/>
      <c r="V26" s="5"/>
      <c r="W26" s="4"/>
      <c r="X26" s="4"/>
      <c r="Y26" s="5"/>
      <c r="Z26" s="4"/>
      <c r="AA26" s="4"/>
      <c r="AD26" s="4"/>
      <c r="AE26" s="4"/>
      <c r="AF26" s="5"/>
      <c r="AG26" s="4"/>
      <c r="AH26" s="4"/>
      <c r="AK26" s="5"/>
      <c r="AL26" s="4"/>
      <c r="AM26" s="4"/>
    </row>
    <row r="27" spans="1:39">
      <c r="G27" s="10"/>
      <c r="H27" s="12"/>
      <c r="I27" s="12"/>
      <c r="M27" s="10"/>
      <c r="N27" s="12"/>
      <c r="O27" s="12"/>
      <c r="S27" s="5"/>
      <c r="T27" s="4"/>
      <c r="U27" s="4"/>
      <c r="V27" s="5"/>
      <c r="W27" s="4"/>
      <c r="X27" s="4"/>
      <c r="Y27" s="5"/>
      <c r="Z27" s="4"/>
      <c r="AA27" s="4"/>
      <c r="AD27" s="4"/>
      <c r="AE27" s="4"/>
      <c r="AF27" s="5"/>
      <c r="AG27" s="4"/>
      <c r="AH27" s="4"/>
      <c r="AK27" s="5"/>
      <c r="AL27" s="4"/>
      <c r="AM27" s="4"/>
    </row>
    <row r="28" spans="1:39">
      <c r="G28" s="10"/>
      <c r="H28" s="12"/>
      <c r="I28" s="12"/>
      <c r="M28" s="10"/>
      <c r="N28" s="12"/>
      <c r="O28" s="12"/>
      <c r="S28" s="5"/>
      <c r="T28" s="4"/>
      <c r="U28" s="4"/>
      <c r="V28" s="5"/>
      <c r="W28" s="4"/>
      <c r="X28" s="4"/>
      <c r="Y28" s="5"/>
      <c r="Z28" s="4"/>
      <c r="AA28" s="4"/>
      <c r="AD28" s="4"/>
      <c r="AE28" s="4"/>
      <c r="AF28" s="5"/>
      <c r="AG28" s="4"/>
      <c r="AH28" s="4"/>
      <c r="AK28" s="5"/>
      <c r="AL28" s="4"/>
      <c r="AM28" s="4"/>
    </row>
    <row r="29" spans="1:39">
      <c r="G29" s="10"/>
      <c r="H29" s="12"/>
      <c r="I29" s="12"/>
      <c r="M29" s="10"/>
      <c r="N29" s="12"/>
      <c r="O29" s="12"/>
      <c r="Q29" s="23"/>
      <c r="R29" s="23"/>
      <c r="S29" s="4"/>
      <c r="T29" s="4"/>
      <c r="U29" s="4"/>
      <c r="V29" s="5"/>
      <c r="W29" s="4"/>
      <c r="X29" s="4"/>
      <c r="Y29" s="5"/>
      <c r="Z29" s="4"/>
      <c r="AA29" s="4"/>
      <c r="AD29" s="4"/>
      <c r="AE29" s="4"/>
      <c r="AF29" s="5"/>
      <c r="AG29" s="4"/>
      <c r="AH29" s="4"/>
      <c r="AK29" s="5"/>
      <c r="AL29" s="4"/>
      <c r="AM29" s="4"/>
    </row>
    <row r="30" spans="1:39">
      <c r="G30" s="10"/>
      <c r="H30" s="23"/>
      <c r="I30" s="23"/>
      <c r="J30" s="12"/>
      <c r="K30" s="12"/>
      <c r="M30" s="10"/>
      <c r="N30" s="12"/>
      <c r="O30" s="12"/>
      <c r="Q30" s="23"/>
      <c r="R30" s="23"/>
      <c r="S30" s="4"/>
      <c r="T30" s="4"/>
      <c r="U30" s="4"/>
      <c r="V30" s="5"/>
      <c r="W30" s="4"/>
      <c r="X30" s="4"/>
      <c r="Y30" s="5"/>
      <c r="Z30" s="4"/>
      <c r="AA30" s="4"/>
      <c r="AD30" s="4"/>
      <c r="AE30" s="4"/>
      <c r="AF30" s="5"/>
      <c r="AG30" s="4"/>
      <c r="AH30" s="4"/>
      <c r="AK30" s="5"/>
      <c r="AL30" s="4"/>
      <c r="AM30" s="4"/>
    </row>
    <row r="31" spans="1:39">
      <c r="G31" s="10"/>
      <c r="H31" s="23"/>
      <c r="I31" s="23"/>
      <c r="J31" s="12"/>
      <c r="K31" s="12"/>
      <c r="M31" s="10"/>
      <c r="N31" s="12"/>
      <c r="O31" s="12"/>
      <c r="Q31" s="23"/>
      <c r="R31" s="23"/>
      <c r="S31" s="4"/>
      <c r="T31" s="4"/>
      <c r="U31" s="4"/>
      <c r="V31" s="5"/>
      <c r="W31" s="4"/>
      <c r="X31" s="4"/>
      <c r="Y31" s="5"/>
      <c r="Z31" s="4"/>
      <c r="AA31" s="4"/>
      <c r="AD31" s="4"/>
      <c r="AE31" s="4"/>
      <c r="AF31" s="5"/>
      <c r="AG31" s="4"/>
      <c r="AH31" s="4"/>
      <c r="AK31" s="5"/>
      <c r="AL31" s="4"/>
      <c r="AM31" s="4"/>
    </row>
    <row r="32" spans="1:39">
      <c r="G32" s="10"/>
      <c r="H32" s="23"/>
      <c r="I32" s="23"/>
      <c r="J32" s="12"/>
      <c r="K32" s="12"/>
      <c r="L32" s="12"/>
      <c r="M32" s="10"/>
      <c r="N32" s="12"/>
      <c r="O32" s="12"/>
      <c r="Q32" s="23"/>
      <c r="R32" s="23"/>
      <c r="S32" s="4"/>
      <c r="T32" s="4"/>
      <c r="U32" s="4"/>
      <c r="V32" s="5"/>
      <c r="W32" s="4"/>
      <c r="X32" s="4"/>
      <c r="Y32" s="5"/>
      <c r="Z32" s="4"/>
      <c r="AA32" s="4"/>
      <c r="AD32" s="4"/>
      <c r="AE32" s="4"/>
      <c r="AF32" s="5"/>
      <c r="AG32" s="4"/>
      <c r="AH32" s="4"/>
      <c r="AK32" s="5"/>
      <c r="AL32" s="4"/>
      <c r="AM32" s="4"/>
    </row>
    <row r="33" spans="7:39">
      <c r="G33" s="10"/>
      <c r="H33" s="23"/>
      <c r="I33" s="23"/>
      <c r="J33" s="12"/>
      <c r="K33" s="12"/>
      <c r="L33" s="12"/>
      <c r="M33" s="10"/>
      <c r="N33" s="12"/>
      <c r="O33" s="12"/>
      <c r="Q33" s="23"/>
      <c r="R33" s="23"/>
      <c r="S33" s="4"/>
      <c r="T33" s="4"/>
      <c r="U33" s="4"/>
      <c r="V33" s="5"/>
      <c r="W33" s="4"/>
      <c r="X33" s="4"/>
      <c r="Y33" s="5"/>
      <c r="Z33" s="4"/>
      <c r="AA33" s="4"/>
      <c r="AD33" s="4"/>
      <c r="AE33" s="4"/>
      <c r="AF33" s="5"/>
      <c r="AG33" s="4"/>
      <c r="AH33" s="4"/>
      <c r="AK33" s="5"/>
      <c r="AL33" s="4"/>
      <c r="AM33" s="4"/>
    </row>
    <row r="34" spans="7:39">
      <c r="G34" s="10"/>
      <c r="H34" s="23"/>
      <c r="I34" s="23"/>
      <c r="J34" s="12"/>
      <c r="K34" s="12"/>
      <c r="L34" s="12"/>
      <c r="M34" s="10"/>
      <c r="N34" s="12"/>
      <c r="O34" s="12"/>
      <c r="Q34" s="23"/>
      <c r="R34" s="23"/>
      <c r="S34" s="4"/>
      <c r="T34" s="4"/>
      <c r="U34" s="4"/>
      <c r="V34" s="5"/>
      <c r="W34" s="4"/>
      <c r="X34" s="4"/>
      <c r="Y34" s="5"/>
      <c r="Z34" s="4"/>
      <c r="AA34" s="4"/>
      <c r="AD34" s="4"/>
      <c r="AE34" s="4"/>
      <c r="AF34" s="5"/>
      <c r="AG34" s="4"/>
      <c r="AH34" s="4"/>
      <c r="AK34" s="5"/>
      <c r="AL34" s="4"/>
      <c r="AM34" s="4"/>
    </row>
    <row r="35" spans="7:39">
      <c r="G35" s="10"/>
      <c r="H35" s="23"/>
      <c r="I35" s="23"/>
      <c r="J35" s="12"/>
      <c r="K35" s="12"/>
      <c r="L35" s="12"/>
      <c r="M35" s="10"/>
      <c r="N35" s="12"/>
      <c r="O35" s="12"/>
      <c r="Q35" s="23"/>
      <c r="R35" s="23"/>
      <c r="S35" s="4"/>
      <c r="T35" s="4"/>
      <c r="U35" s="4"/>
      <c r="V35" s="5"/>
      <c r="W35" s="4"/>
      <c r="X35" s="4"/>
      <c r="Y35" s="5"/>
      <c r="Z35" s="4"/>
      <c r="AA35" s="4"/>
      <c r="AD35" s="4"/>
      <c r="AE35" s="4"/>
      <c r="AF35" s="5"/>
      <c r="AG35" s="4"/>
      <c r="AH35" s="4"/>
      <c r="AK35" s="5"/>
      <c r="AL35" s="4"/>
      <c r="AM35" s="4"/>
    </row>
    <row r="36" spans="7:39">
      <c r="H36" s="23"/>
      <c r="I36" s="23"/>
      <c r="J36" s="12"/>
      <c r="K36" s="12"/>
      <c r="L36" s="12"/>
      <c r="M36" s="10"/>
      <c r="N36" s="12"/>
      <c r="O36" s="12"/>
      <c r="Q36" s="23"/>
      <c r="R36" s="23"/>
      <c r="S36" s="4"/>
      <c r="T36" s="4"/>
      <c r="U36" s="4"/>
      <c r="Y36" s="5"/>
      <c r="Z36" s="4"/>
      <c r="AA36" s="4"/>
      <c r="AD36" s="4"/>
      <c r="AE36" s="4"/>
      <c r="AF36" s="5"/>
      <c r="AG36" s="4"/>
      <c r="AH36" s="4"/>
      <c r="AK36" s="5"/>
      <c r="AL36" s="4"/>
      <c r="AM36" s="4"/>
    </row>
    <row r="37" spans="7:39">
      <c r="H37" s="23"/>
      <c r="I37" s="23"/>
      <c r="J37" s="12"/>
      <c r="K37" s="12"/>
      <c r="L37" s="12"/>
      <c r="M37" s="10"/>
      <c r="N37" s="12"/>
      <c r="O37" s="12"/>
      <c r="S37" s="5"/>
      <c r="T37" s="4"/>
      <c r="U37" s="4"/>
      <c r="Y37" s="5"/>
      <c r="Z37" s="4"/>
      <c r="AA37" s="4"/>
      <c r="AF37" s="5"/>
      <c r="AG37" s="4"/>
      <c r="AH37" s="4"/>
      <c r="AK37" s="5"/>
      <c r="AL37" s="4"/>
      <c r="AM37" s="4"/>
    </row>
    <row r="38" spans="7:39">
      <c r="H38" s="23"/>
      <c r="I38" s="23"/>
      <c r="J38" s="12"/>
      <c r="K38" s="12"/>
      <c r="L38" s="12"/>
      <c r="M38" s="10"/>
      <c r="N38" s="12"/>
      <c r="O38" s="12"/>
      <c r="S38" s="5"/>
      <c r="T38" s="4"/>
      <c r="U38" s="4"/>
      <c r="Y38" s="5"/>
      <c r="Z38" s="4"/>
      <c r="AA38" s="4"/>
      <c r="AF38" s="5"/>
      <c r="AG38" s="4"/>
      <c r="AH38" s="4"/>
      <c r="AK38" s="5"/>
      <c r="AL38" s="4"/>
      <c r="AM38" s="4"/>
    </row>
    <row r="39" spans="7:39">
      <c r="H39" s="23"/>
      <c r="I39" s="23"/>
      <c r="J39" s="12"/>
      <c r="K39" s="12"/>
      <c r="L39" s="12"/>
      <c r="M39" s="10"/>
      <c r="N39" s="12"/>
      <c r="O39" s="12"/>
      <c r="S39" s="5"/>
      <c r="T39" s="4"/>
      <c r="U39" s="4"/>
      <c r="Y39" s="5"/>
      <c r="Z39" s="4"/>
      <c r="AA39" s="4"/>
      <c r="AF39" s="5"/>
      <c r="AG39" s="4"/>
      <c r="AH39" s="4"/>
      <c r="AK39" s="5"/>
      <c r="AL39" s="4"/>
      <c r="AM39" s="4"/>
    </row>
    <row r="40" spans="7:39">
      <c r="H40" s="23"/>
      <c r="I40" s="23"/>
      <c r="J40" s="12"/>
      <c r="K40" s="12"/>
      <c r="L40" s="12"/>
      <c r="M40" s="10"/>
      <c r="N40" s="12"/>
      <c r="O40" s="12"/>
      <c r="S40" s="5"/>
      <c r="T40" s="4"/>
      <c r="U40" s="4"/>
      <c r="Y40" s="5"/>
      <c r="Z40" s="4"/>
      <c r="AA40" s="4"/>
      <c r="AF40" s="5"/>
      <c r="AG40" s="4"/>
      <c r="AH40" s="4"/>
      <c r="AK40" s="5"/>
      <c r="AL40" s="4"/>
      <c r="AM40" s="4"/>
    </row>
    <row r="41" spans="7:39">
      <c r="H41" s="23"/>
      <c r="I41" s="23"/>
      <c r="J41" s="12"/>
      <c r="K41" s="12"/>
      <c r="L41" s="12"/>
      <c r="M41" s="10"/>
      <c r="N41" s="12"/>
      <c r="O41" s="12"/>
      <c r="S41" s="5"/>
      <c r="T41" s="4"/>
      <c r="U41" s="4"/>
      <c r="Y41" s="5"/>
      <c r="Z41" s="4"/>
      <c r="AA41" s="4"/>
      <c r="AF41" s="5"/>
      <c r="AG41" s="4"/>
      <c r="AH41" s="4"/>
      <c r="AK41" s="5"/>
      <c r="AL41" s="4"/>
      <c r="AM41" s="4"/>
    </row>
    <row r="42" spans="7:39">
      <c r="H42" s="23"/>
      <c r="I42" s="23"/>
      <c r="J42" s="12"/>
      <c r="K42" s="12"/>
      <c r="L42" s="12"/>
      <c r="M42" s="10"/>
      <c r="N42" s="12"/>
      <c r="O42" s="12"/>
      <c r="S42" s="5"/>
      <c r="T42" s="4"/>
      <c r="U42" s="4"/>
      <c r="Y42" s="5"/>
      <c r="Z42" s="4"/>
      <c r="AA42" s="4"/>
      <c r="AF42" s="5"/>
      <c r="AG42" s="4"/>
      <c r="AH42" s="4"/>
      <c r="AK42" s="5"/>
      <c r="AL42" s="4"/>
      <c r="AM42" s="4"/>
    </row>
    <row r="43" spans="7:39">
      <c r="H43" s="23"/>
      <c r="I43" s="23"/>
      <c r="J43" s="12"/>
      <c r="K43" s="12"/>
      <c r="L43" s="12"/>
      <c r="M43" s="10"/>
      <c r="N43" s="12"/>
      <c r="O43" s="12"/>
      <c r="S43" s="5"/>
      <c r="T43" s="4"/>
      <c r="U43" s="4"/>
      <c r="Y43" s="5"/>
      <c r="Z43" s="4"/>
      <c r="AA43" s="4"/>
      <c r="AF43" s="5"/>
      <c r="AG43" s="4"/>
      <c r="AH43" s="4"/>
      <c r="AK43" s="5"/>
      <c r="AL43" s="4"/>
      <c r="AM43" s="4"/>
    </row>
    <row r="44" spans="7:39">
      <c r="H44" s="23"/>
      <c r="I44" s="23"/>
      <c r="J44" s="12"/>
      <c r="K44" s="12"/>
      <c r="L44" s="12"/>
      <c r="M44" s="10"/>
      <c r="N44" s="12"/>
      <c r="O44" s="12"/>
      <c r="S44" s="5"/>
      <c r="T44" s="4"/>
      <c r="U44" s="4"/>
      <c r="Y44" s="5"/>
      <c r="Z44" s="4"/>
      <c r="AA44" s="4"/>
      <c r="AF44" s="5"/>
      <c r="AG44" s="4"/>
      <c r="AH44" s="4"/>
      <c r="AK44" s="5"/>
      <c r="AL44" s="4"/>
      <c r="AM44" s="4"/>
    </row>
    <row r="45" spans="7:39">
      <c r="H45" s="23"/>
      <c r="I45" s="23"/>
      <c r="J45" s="12"/>
      <c r="K45" s="12"/>
      <c r="L45" s="12"/>
      <c r="M45" s="10"/>
      <c r="N45" s="12"/>
      <c r="O45" s="12"/>
      <c r="S45" s="5"/>
      <c r="T45" s="4"/>
      <c r="U45" s="4"/>
      <c r="Y45" s="5"/>
      <c r="Z45" s="4"/>
      <c r="AA45" s="4"/>
      <c r="AF45" s="5"/>
      <c r="AG45" s="4"/>
      <c r="AH45" s="4"/>
      <c r="AK45" s="5"/>
      <c r="AL45" s="4"/>
      <c r="AM45" s="4"/>
    </row>
    <row r="46" spans="7:39">
      <c r="H46" s="23"/>
      <c r="I46" s="23"/>
      <c r="J46" s="12"/>
      <c r="K46" s="12"/>
      <c r="L46" s="12"/>
      <c r="M46" s="10"/>
      <c r="N46" s="12"/>
      <c r="O46" s="12"/>
      <c r="S46" s="5"/>
      <c r="T46" s="4"/>
      <c r="U46" s="4"/>
      <c r="Y46" s="5"/>
      <c r="Z46" s="4"/>
      <c r="AA46" s="4"/>
      <c r="AF46" s="5"/>
      <c r="AG46" s="4"/>
      <c r="AH46" s="4"/>
      <c r="AK46" s="5"/>
      <c r="AL46" s="4"/>
      <c r="AM46" s="4"/>
    </row>
    <row r="47" spans="7:39">
      <c r="H47" s="23"/>
      <c r="I47" s="23"/>
      <c r="J47" s="12"/>
      <c r="K47" s="12"/>
      <c r="L47" s="12"/>
      <c r="M47" s="10"/>
      <c r="N47" s="12"/>
      <c r="O47" s="12"/>
      <c r="S47" s="5"/>
      <c r="T47" s="4"/>
      <c r="U47" s="4"/>
      <c r="Y47" s="11"/>
      <c r="Z47" s="5"/>
      <c r="AA47" s="4"/>
      <c r="AB47" s="4"/>
      <c r="AC47" s="11"/>
      <c r="AF47" s="5"/>
      <c r="AG47" s="4"/>
      <c r="AH47" s="4"/>
    </row>
    <row r="48" spans="7:39">
      <c r="H48" s="23"/>
      <c r="I48" s="23"/>
      <c r="J48" s="12"/>
      <c r="K48" s="12"/>
      <c r="L48" s="12"/>
      <c r="M48" s="10"/>
      <c r="N48" s="12"/>
      <c r="O48" s="12"/>
      <c r="S48" s="5"/>
      <c r="T48" s="4"/>
      <c r="U48" s="4"/>
      <c r="Y48" s="11"/>
      <c r="Z48" s="5"/>
      <c r="AA48" s="4"/>
      <c r="AB48" s="4"/>
      <c r="AC48" s="11"/>
      <c r="AF48" s="10"/>
      <c r="AG48" s="12"/>
      <c r="AH48" s="12"/>
      <c r="AI48" s="11"/>
      <c r="AJ48" s="11"/>
    </row>
    <row r="49" spans="8:36">
      <c r="H49" s="23"/>
      <c r="I49" s="23"/>
      <c r="J49" s="12"/>
      <c r="K49" s="12"/>
      <c r="L49" s="12"/>
      <c r="M49" s="10"/>
      <c r="N49" s="12"/>
      <c r="O49" s="12"/>
      <c r="S49" s="5"/>
      <c r="T49" s="4"/>
      <c r="U49" s="4"/>
      <c r="Y49" s="11"/>
      <c r="Z49" s="5"/>
      <c r="AA49" s="4"/>
      <c r="AB49" s="4"/>
      <c r="AC49" s="11"/>
      <c r="AF49" s="10"/>
      <c r="AG49" s="12"/>
      <c r="AH49" s="12"/>
      <c r="AI49" s="11"/>
      <c r="AJ49" s="11"/>
    </row>
    <row r="50" spans="8:36">
      <c r="M50" s="10"/>
      <c r="N50" s="12"/>
      <c r="O50" s="12"/>
      <c r="S50" s="5"/>
      <c r="T50" s="4"/>
      <c r="U50" s="4"/>
      <c r="Y50" s="11"/>
      <c r="Z50" s="5"/>
      <c r="AA50" s="4"/>
      <c r="AB50" s="4"/>
      <c r="AC50" s="11"/>
      <c r="AF50" s="10"/>
      <c r="AG50" s="12"/>
      <c r="AH50" s="12"/>
      <c r="AI50" s="11"/>
      <c r="AJ50" s="11"/>
    </row>
    <row r="51" spans="8:36">
      <c r="S51" s="5"/>
      <c r="T51" s="4"/>
      <c r="U51" s="4"/>
      <c r="Y51" s="11"/>
      <c r="Z51" s="5"/>
      <c r="AA51" s="4"/>
      <c r="AB51" s="4"/>
      <c r="AC51" s="11"/>
      <c r="AF51" s="10"/>
      <c r="AG51" s="12"/>
      <c r="AH51" s="12"/>
      <c r="AI51" s="11"/>
      <c r="AJ51" s="11"/>
    </row>
    <row r="52" spans="8:36">
      <c r="S52" s="5"/>
      <c r="T52" s="4"/>
      <c r="U52" s="4"/>
      <c r="V52" s="4"/>
      <c r="Y52" s="11"/>
      <c r="Z52" s="5"/>
      <c r="AA52" s="4"/>
      <c r="AB52" s="4"/>
      <c r="AC52" s="11"/>
      <c r="AF52" s="10"/>
      <c r="AG52" s="12"/>
      <c r="AH52" s="12"/>
      <c r="AI52" s="11"/>
      <c r="AJ52" s="11"/>
    </row>
    <row r="53" spans="8:36">
      <c r="S53" s="5"/>
      <c r="T53" s="4"/>
      <c r="U53" s="4"/>
      <c r="Y53" s="11"/>
      <c r="Z53" s="5"/>
      <c r="AA53" s="4"/>
      <c r="AB53" s="4"/>
      <c r="AC53" s="11"/>
      <c r="AF53" s="10"/>
      <c r="AG53" s="12"/>
      <c r="AH53" s="12"/>
      <c r="AI53" s="11"/>
      <c r="AJ53" s="11"/>
    </row>
    <row r="54" spans="8:36">
      <c r="S54" s="5"/>
      <c r="T54" s="4"/>
      <c r="U54" s="4"/>
      <c r="Z54" s="5"/>
      <c r="AA54" s="4"/>
      <c r="AB54" s="4"/>
    </row>
    <row r="55" spans="8:36">
      <c r="S55" s="5"/>
      <c r="T55" s="4"/>
      <c r="U55" s="4"/>
      <c r="Z55" s="5"/>
      <c r="AA55" s="4"/>
      <c r="AB55" s="4"/>
    </row>
    <row r="56" spans="8:36">
      <c r="S56" s="5"/>
      <c r="T56" s="4"/>
      <c r="U56" s="4"/>
      <c r="Z56" s="5"/>
      <c r="AA56" s="4"/>
      <c r="AB56" s="4"/>
    </row>
    <row r="57" spans="8:36">
      <c r="S57" s="5"/>
      <c r="T57" s="4"/>
      <c r="U57" s="4"/>
      <c r="Z57" s="5"/>
      <c r="AA57" s="4"/>
      <c r="AB57" s="4"/>
    </row>
    <row r="58" spans="8:36">
      <c r="S58" s="5"/>
      <c r="T58" s="4"/>
      <c r="U58" s="4"/>
      <c r="Z58" s="5"/>
      <c r="AA58" s="4"/>
      <c r="AB58" s="4"/>
    </row>
    <row r="59" spans="8:36">
      <c r="S59" s="5"/>
      <c r="T59" s="4"/>
      <c r="U59" s="4"/>
      <c r="Z59" s="5"/>
      <c r="AA59" s="4"/>
      <c r="AB59" s="4"/>
    </row>
    <row r="60" spans="8:36">
      <c r="S60" s="5"/>
      <c r="T60" s="4"/>
      <c r="U60" s="4"/>
      <c r="Z60" s="5"/>
      <c r="AA60" s="4"/>
      <c r="AB60" s="4"/>
    </row>
    <row r="61" spans="8:36">
      <c r="S61" s="5"/>
      <c r="T61" s="4"/>
      <c r="U61" s="4"/>
      <c r="Z61" s="5"/>
      <c r="AA61" s="4"/>
      <c r="AB61" s="4"/>
    </row>
    <row r="62" spans="8:36">
      <c r="S62" s="5"/>
      <c r="T62" s="4"/>
      <c r="U62" s="4"/>
      <c r="Z62" s="5"/>
      <c r="AA62" s="4"/>
      <c r="AB62" s="4"/>
    </row>
    <row r="63" spans="8:36">
      <c r="S63" s="5"/>
      <c r="T63" s="4"/>
      <c r="U63" s="4"/>
      <c r="Z63" s="5"/>
      <c r="AA63" s="4"/>
      <c r="AB63" s="4"/>
    </row>
    <row r="64" spans="8:36">
      <c r="S64" s="5"/>
      <c r="T64" s="4"/>
      <c r="U64" s="4"/>
      <c r="Z64" s="5"/>
      <c r="AA64" s="4"/>
      <c r="AB64" s="4"/>
    </row>
    <row r="65" spans="19:28">
      <c r="S65" s="5"/>
      <c r="T65" s="4"/>
      <c r="U65" s="4"/>
      <c r="Z65" s="5"/>
      <c r="AA65" s="4"/>
      <c r="AB65" s="4"/>
    </row>
    <row r="66" spans="19:28">
      <c r="S66" s="5"/>
      <c r="T66" s="4"/>
      <c r="U66" s="4"/>
      <c r="Z66" s="5"/>
      <c r="AA66" s="4"/>
      <c r="AB66" s="4"/>
    </row>
    <row r="67" spans="19:28">
      <c r="S67" s="5"/>
      <c r="T67" s="4"/>
      <c r="U67" s="4"/>
      <c r="Z67" s="5"/>
      <c r="AA67" s="4"/>
      <c r="AB67" s="4"/>
    </row>
    <row r="68" spans="19:28">
      <c r="S68" s="5"/>
      <c r="T68" s="4"/>
      <c r="U68" s="4"/>
      <c r="Z68" s="5"/>
      <c r="AA68" s="4"/>
      <c r="AB68" s="4"/>
    </row>
    <row r="69" spans="19:28">
      <c r="S69" s="5"/>
      <c r="T69" s="4"/>
      <c r="U69" s="4"/>
      <c r="Z69" s="5"/>
      <c r="AA69" s="4"/>
      <c r="AB69" s="4"/>
    </row>
    <row r="70" spans="19:28">
      <c r="S70" s="5"/>
      <c r="T70" s="4"/>
      <c r="U70" s="4"/>
      <c r="Z70" s="5"/>
      <c r="AA70" s="4"/>
      <c r="AB70" s="4"/>
    </row>
    <row r="71" spans="19:28">
      <c r="S71" s="5"/>
      <c r="T71" s="4"/>
      <c r="U71" s="4"/>
      <c r="Z71" s="5"/>
      <c r="AA71" s="4"/>
      <c r="AB71" s="4"/>
    </row>
    <row r="72" spans="19:28">
      <c r="S72" s="5"/>
      <c r="T72" s="4"/>
      <c r="U72" s="4"/>
      <c r="Z72" s="5"/>
      <c r="AA72" s="4"/>
      <c r="AB72" s="4"/>
    </row>
    <row r="73" spans="19:28">
      <c r="S73" s="5"/>
      <c r="T73" s="4"/>
      <c r="U73" s="4"/>
      <c r="Z73" s="5"/>
      <c r="AA73" s="4"/>
      <c r="AB73" s="4"/>
    </row>
    <row r="74" spans="19:28">
      <c r="S74" s="5"/>
      <c r="T74" s="4"/>
      <c r="U74" s="4"/>
      <c r="Z74" s="5"/>
      <c r="AA74" s="4"/>
      <c r="AB74" s="4"/>
    </row>
    <row r="75" spans="19:28">
      <c r="S75" s="5"/>
      <c r="T75" s="4"/>
      <c r="U75" s="4"/>
      <c r="Z75" s="5"/>
      <c r="AA75" s="4"/>
      <c r="AB75" s="4"/>
    </row>
    <row r="76" spans="19:28">
      <c r="S76" s="5"/>
      <c r="T76" s="4"/>
      <c r="U76" s="4"/>
      <c r="Z76" s="5"/>
      <c r="AA76" s="4"/>
      <c r="AB76" s="4"/>
    </row>
    <row r="77" spans="19:28">
      <c r="S77" s="5"/>
      <c r="T77" s="4"/>
      <c r="U77" s="4"/>
      <c r="Z77" s="5"/>
      <c r="AA77" s="4"/>
      <c r="AB77" s="4"/>
    </row>
    <row r="78" spans="19:28">
      <c r="S78" s="5"/>
      <c r="T78" s="4"/>
      <c r="U78" s="4"/>
      <c r="Z78" s="5"/>
      <c r="AA78" s="4"/>
      <c r="AB78" s="4"/>
    </row>
    <row r="79" spans="19:28">
      <c r="S79" s="5"/>
      <c r="T79" s="4"/>
      <c r="U79" s="4"/>
      <c r="Z79" s="5"/>
      <c r="AA79" s="4"/>
      <c r="AB79" s="4"/>
    </row>
    <row r="80" spans="19:28">
      <c r="S80" s="5"/>
      <c r="T80" s="4"/>
      <c r="U80" s="4"/>
      <c r="Z80" s="5"/>
      <c r="AA80" s="4"/>
      <c r="AB80" s="4"/>
    </row>
    <row r="81" spans="19:28">
      <c r="S81" s="5"/>
      <c r="T81" s="4"/>
      <c r="U81" s="4"/>
      <c r="Z81" s="5"/>
      <c r="AA81" s="4"/>
      <c r="AB81" s="4"/>
    </row>
    <row r="82" spans="19:28">
      <c r="S82" s="5"/>
      <c r="T82" s="4"/>
      <c r="U82" s="4"/>
      <c r="Z82" s="5"/>
      <c r="AA82" s="4"/>
      <c r="AB82" s="4"/>
    </row>
    <row r="83" spans="19:28">
      <c r="S83" s="5"/>
      <c r="T83" s="4"/>
      <c r="U83" s="4"/>
      <c r="Z83" s="5"/>
      <c r="AA83" s="4"/>
      <c r="AB83" s="4"/>
    </row>
    <row r="84" spans="19:28">
      <c r="S84" s="5"/>
      <c r="T84" s="4"/>
      <c r="U84" s="4"/>
      <c r="Z84" s="5"/>
      <c r="AA84" s="4"/>
      <c r="AB84" s="4"/>
    </row>
    <row r="85" spans="19:28">
      <c r="S85" s="5"/>
      <c r="T85" s="4"/>
      <c r="U85" s="4"/>
      <c r="Z85" s="5"/>
      <c r="AA85" s="4"/>
      <c r="AB85" s="4"/>
    </row>
    <row r="86" spans="19:28">
      <c r="S86" s="5"/>
      <c r="T86" s="4"/>
      <c r="U86" s="4"/>
      <c r="Z86" s="5"/>
      <c r="AA86" s="4"/>
      <c r="AB86" s="4"/>
    </row>
    <row r="87" spans="19:28">
      <c r="S87" s="5"/>
      <c r="T87" s="4"/>
      <c r="U87" s="4"/>
      <c r="Z87" s="5"/>
      <c r="AA87" s="4"/>
      <c r="AB87" s="4"/>
    </row>
    <row r="88" spans="19:28">
      <c r="S88" s="5"/>
      <c r="T88" s="4"/>
      <c r="U88" s="4"/>
      <c r="Z88" s="5"/>
      <c r="AA88" s="4"/>
      <c r="AB88" s="4"/>
    </row>
    <row r="89" spans="19:28">
      <c r="S89" s="5"/>
      <c r="T89" s="4"/>
      <c r="U89" s="4"/>
      <c r="Z89" s="5"/>
      <c r="AA89" s="4"/>
      <c r="AB89" s="4"/>
    </row>
    <row r="90" spans="19:28">
      <c r="S90" s="5"/>
      <c r="T90" s="4"/>
      <c r="U90" s="4"/>
      <c r="Z90" s="5"/>
      <c r="AA90" s="4"/>
      <c r="AB90" s="4"/>
    </row>
    <row r="91" spans="19:28">
      <c r="S91" s="5"/>
      <c r="T91" s="4"/>
      <c r="U91" s="4"/>
      <c r="Z91" s="5"/>
      <c r="AA91" s="4"/>
      <c r="AB91" s="4"/>
    </row>
    <row r="92" spans="19:28">
      <c r="S92" s="5"/>
      <c r="T92" s="4"/>
      <c r="U92" s="4"/>
      <c r="Z92" s="5"/>
      <c r="AA92" s="4"/>
      <c r="AB92" s="4"/>
    </row>
    <row r="93" spans="19:28">
      <c r="S93" s="5"/>
      <c r="T93" s="4"/>
      <c r="U93" s="4"/>
      <c r="Z93" s="5"/>
      <c r="AA93" s="4"/>
      <c r="AB93" s="4"/>
    </row>
    <row r="94" spans="19:28">
      <c r="S94" s="5"/>
      <c r="T94" s="4"/>
      <c r="U94" s="4"/>
      <c r="Z94" s="5"/>
      <c r="AA94" s="4"/>
      <c r="AB94" s="4"/>
    </row>
    <row r="95" spans="19:28">
      <c r="S95" s="5"/>
      <c r="T95" s="4"/>
      <c r="U95" s="4"/>
      <c r="Z95" s="5"/>
      <c r="AA95" s="4"/>
      <c r="AB95" s="4"/>
    </row>
    <row r="96" spans="19:28">
      <c r="S96" s="5"/>
      <c r="T96" s="4"/>
      <c r="U96" s="4"/>
      <c r="Z96" s="5"/>
      <c r="AA96" s="4"/>
      <c r="AB96" s="4"/>
    </row>
    <row r="97" spans="19:28">
      <c r="S97" s="5"/>
      <c r="T97" s="4"/>
      <c r="U97" s="4"/>
      <c r="Z97" s="5"/>
      <c r="AA97" s="4"/>
      <c r="AB97" s="4"/>
    </row>
    <row r="98" spans="19:28">
      <c r="S98" s="5"/>
      <c r="T98" s="4"/>
      <c r="U98" s="4"/>
      <c r="Z98" s="5"/>
      <c r="AA98" s="4"/>
      <c r="AB98" s="4"/>
    </row>
    <row r="99" spans="19:28">
      <c r="S99" s="5"/>
      <c r="T99" s="4"/>
      <c r="U99" s="4"/>
      <c r="Z99" s="5"/>
      <c r="AA99" s="4"/>
      <c r="AB99" s="4"/>
    </row>
    <row r="100" spans="19:28">
      <c r="S100" s="5"/>
      <c r="T100" s="4"/>
      <c r="U100" s="4"/>
      <c r="Z100" s="5"/>
      <c r="AA100" s="4"/>
      <c r="AB100" s="4"/>
    </row>
    <row r="101" spans="19:28">
      <c r="S101" s="5"/>
      <c r="T101" s="4"/>
      <c r="U101" s="4"/>
      <c r="Z101" s="5"/>
      <c r="AA101" s="4"/>
      <c r="AB101" s="4"/>
    </row>
    <row r="102" spans="19:28">
      <c r="S102" s="5"/>
      <c r="T102" s="4"/>
      <c r="U102" s="4"/>
      <c r="Z102" s="5"/>
      <c r="AA102" s="4"/>
      <c r="AB102" s="4"/>
    </row>
    <row r="103" spans="19:28">
      <c r="S103" s="5"/>
      <c r="T103" s="4"/>
      <c r="U103" s="4"/>
      <c r="Z103" s="5"/>
      <c r="AA103" s="4"/>
      <c r="AB103" s="4"/>
    </row>
    <row r="104" spans="19:28">
      <c r="S104" s="5"/>
      <c r="T104" s="4"/>
      <c r="U104" s="4"/>
      <c r="Z104" s="5"/>
      <c r="AA104" s="4"/>
      <c r="AB104" s="4"/>
    </row>
    <row r="105" spans="19:28">
      <c r="S105" s="5"/>
      <c r="T105" s="4"/>
      <c r="U105" s="4"/>
      <c r="Z105" s="5"/>
      <c r="AA105" s="4"/>
      <c r="AB105" s="4"/>
    </row>
    <row r="106" spans="19:28">
      <c r="S106" s="5"/>
      <c r="T106" s="4"/>
      <c r="U106" s="4"/>
      <c r="Z106" s="5"/>
      <c r="AA106" s="4"/>
      <c r="AB106" s="4"/>
    </row>
    <row r="107" spans="19:28">
      <c r="S107" s="5"/>
      <c r="T107" s="4"/>
      <c r="U107" s="4"/>
      <c r="Z107" s="5"/>
      <c r="AA107" s="4"/>
      <c r="AB107" s="4"/>
    </row>
    <row r="108" spans="19:28">
      <c r="S108" s="5"/>
      <c r="T108" s="4"/>
      <c r="U108" s="4"/>
      <c r="Z108" s="5"/>
      <c r="AA108" s="4"/>
      <c r="AB108" s="4"/>
    </row>
    <row r="109" spans="19:28">
      <c r="S109" s="5"/>
      <c r="T109" s="4"/>
      <c r="U109" s="4"/>
      <c r="Z109" s="5"/>
      <c r="AA109" s="4"/>
      <c r="AB109" s="4"/>
    </row>
    <row r="110" spans="19:28">
      <c r="S110" s="5"/>
      <c r="T110" s="4"/>
      <c r="U110" s="4"/>
      <c r="Z110" s="5"/>
      <c r="AA110" s="4"/>
      <c r="AB110" s="4"/>
    </row>
    <row r="111" spans="19:28">
      <c r="S111" s="5"/>
      <c r="T111" s="4"/>
      <c r="U111" s="4"/>
      <c r="Z111" s="5"/>
      <c r="AA111" s="4"/>
      <c r="AB111" s="4"/>
    </row>
    <row r="112" spans="19:28">
      <c r="S112" s="5"/>
      <c r="T112" s="4"/>
      <c r="U112" s="4"/>
      <c r="Z112" s="5"/>
      <c r="AA112" s="4"/>
      <c r="AB112" s="4"/>
    </row>
    <row r="113" spans="19:28">
      <c r="S113" s="5"/>
      <c r="T113" s="4"/>
      <c r="U113" s="4"/>
      <c r="Z113" s="5"/>
      <c r="AA113" s="4"/>
      <c r="AB113" s="4"/>
    </row>
    <row r="114" spans="19:28">
      <c r="S114" s="5"/>
      <c r="T114" s="4"/>
      <c r="U114" s="4"/>
      <c r="Z114" s="5"/>
      <c r="AA114" s="4"/>
      <c r="AB114" s="4"/>
    </row>
    <row r="115" spans="19:28">
      <c r="S115" s="5"/>
      <c r="T115" s="4"/>
      <c r="U115" s="4"/>
    </row>
  </sheetData>
  <hyperlinks>
    <hyperlink ref="G2" r:id="rId1" display="LA-US.txt.ACIA.txt.html" xr:uid="{BAE8C821-4E2F-B148-9B30-E3AF0B5F989E}"/>
    <hyperlink ref="A2" r:id="rId2" display="146_Brunei Japan_2007Cut.txt.ACIA.txt.html" xr:uid="{6FF417AF-67C5-1A4B-A17B-5689C9CC075A}"/>
    <hyperlink ref="K2" r:id="rId3" display="519_Japan Philippines_2006Cut.txt.ACIA.txt.html" xr:uid="{E44239E6-5861-EB4A-9B9A-413F822B4146}"/>
    <hyperlink ref="K3" r:id="rId4" display="PH-EFTA.txt.ACIA.txt.html" xr:uid="{C5E6D7CE-8E8E-EF48-9FAC-571C5CD69E3E}"/>
    <hyperlink ref="K4" r:id="rId5" display="PH-Korea.txt.ACIA.txt.html" xr:uid="{E1350C43-F5D8-434E-B461-F1F7F010EBC7}"/>
    <hyperlink ref="O2" r:id="rId6" display="632_New Zealand Thailand_2005Cut.txt.ACIA.txt.html" xr:uid="{339DBB91-C61C-7641-BD34-5EA2502B03AA}"/>
    <hyperlink ref="O3" r:id="rId7" display="771_Peru Thailand_2005Cut.txt.ACIA.txt.html" xr:uid="{81897E1D-6CCC-ED4D-A7A8-9E8BB2489CC1}"/>
    <hyperlink ref="O4" r:id="rId8" display="83_Australia Thailand_2004.txt.ACIA.txt.html" xr:uid="{D80C369A-7A1E-0643-8798-6B95289AC214}"/>
    <hyperlink ref="O5" r:id="rId9" display="TH-Chile.txt.ACIA.txt.html" xr:uid="{26FAD0D5-5E4E-4D48-8943-6DD5193E86C0}"/>
    <hyperlink ref="O6" r:id="rId10" display="TH-EFTA.txt.ACIA.txt.html" xr:uid="{29266DD6-3A52-6247-85C9-CD7CB518F159}"/>
    <hyperlink ref="O7" r:id="rId11" display="TH-India.txt.ACIA.txt.html" xr:uid="{3FA7BA7F-A509-2541-A890-0E492331DA56}"/>
    <hyperlink ref="O8" r:id="rId12" display="TH-Japan.txt.ACIA.txt.html" xr:uid="{DEA0F8C3-C939-744D-9FED-756A7773DA4F}"/>
    <hyperlink ref="C2" r:id="rId13" display="../../../../../../Documents/Publications/SG Economic Treaties/FTAs/CA-China (2020).txt.ASEAN FTA.txt.html" xr:uid="{56DFAC0A-CC19-BB4A-9588-B1A48FCE4A32}"/>
    <hyperlink ref="C3" r:id="rId14" display="../../../../../../Documents/Publications/SG Economic Treaties/FTAs/CA-ROK (2021).txt.ASEAN FTA.txt.html" xr:uid="{9FAD132F-606D-AE4B-B6EE-C4EFAB965405}"/>
    <hyperlink ref="C4" r:id="rId15" display="../../../../../../Documents/Publications/SG Economic Treaties/FTAs/CA-UAE (2023).txt.ASEAN FTA.txt.html" xr:uid="{6C5510FF-EAB4-9F4C-8E57-BD4FC86A1E1D}"/>
    <hyperlink ref="E2" r:id="rId16" display="../../../../../../Documents/Publications/SG Economic Treaties/FTAs/ID-Aus (2019).txt.ASEAN FTA.txt.html" xr:uid="{800981BE-190A-2648-BAB7-7E77B54E8D30}"/>
    <hyperlink ref="E3" r:id="rId17" display="../../../../../../Documents/Publications/SG Economic Treaties/FTAs/ID-Canada (2025).txt.ASEAN FTA.txt.html" xr:uid="{DF7BAFE0-9BC7-8342-AB40-A6EDE2DE6132}"/>
    <hyperlink ref="E4" r:id="rId18" display="../../../../../../Documents/Publications/SG Economic Treaties/FTAs/ID-Chile (2017).txt.ASEAN FTA.txt.html" xr:uid="{8A745AA7-B184-E94F-8662-237689D53D13}"/>
    <hyperlink ref="E5" r:id="rId19" display="../../../../../../Documents/Publications/SG Economic Treaties/FTAs/ID-EFTA (2018).txt.ASEAN FTA.txt.html" xr:uid="{01D89F93-BBAB-2945-BD10-63B338B514D5}"/>
    <hyperlink ref="E6" r:id="rId20" display="../../../../../../Documents/Publications/SG Economic Treaties/FTAs/ID-Japan (2007).txt.ASEAN FTA.txt.html" xr:uid="{85D267B9-7994-0245-ABAA-02CA5492963B}"/>
    <hyperlink ref="E7" r:id="rId21" display="../../../../../../Documents/Publications/SG Economic Treaties/FTAs/ID-ROK (2020).txt.ASEAN FTA.txt.html" xr:uid="{80AEA8DC-2197-2340-B23A-F438FB306FCF}"/>
    <hyperlink ref="E8" r:id="rId22" display="../../../../../../Documents/Publications/SG Economic Treaties/FTAs/ID-UAE (2022).txt.ASEAN FTA.txt.html" xr:uid="{379C4B89-D519-504F-8618-738CC1F6C2D5}"/>
    <hyperlink ref="I2" r:id="rId23" display="../../../../../../Documents/Publications/SG Economic Treaties/FTAs/517_Japan Malaysia_2005Cut.txt.ASEAN FTA.txt.html" xr:uid="{95B08AB2-2F09-F145-903F-8552B8541F08}"/>
    <hyperlink ref="I3" r:id="rId24" display="../../../../../../Documents/Publications/SG Economic Treaties/FTAs/599_Malaysia Pakistan_2007Cut.txt.ASEAN FTA.txt.html" xr:uid="{66359DBA-16CD-FF43-8049-244C42F79E22}"/>
    <hyperlink ref="I4" r:id="rId25" display="../../../../../../Documents/Publications/SG Economic Treaties/FTAs/795_Australia Malaysia_2012 cut.txt.ASEAN FTA.txt.html" xr:uid="{923EEBF0-0B29-844F-BDA6-942C12B5903D}"/>
    <hyperlink ref="I5" r:id="rId26" display="../../../../../../Documents/Publications/SG Economic Treaties/FTAs/800_Chile Malaysia_2010 cut.txt.ASEAN FTA.txt.html" xr:uid="{9E96DBF3-903A-E742-8B9A-34CCE3F0A65E}"/>
    <hyperlink ref="I6" r:id="rId27" display="../../../../../../Documents/Publications/SG Economic Treaties/FTAs/MY-EFTA (2025).txt.ASEAN FTA.txt.html" xr:uid="{48A214EF-7976-FF48-8433-E9267008D62F}"/>
    <hyperlink ref="I7" r:id="rId28" display="../../../../../../Documents/Publications/SG Economic Treaties/FTAs/MY-India (2011).txt.ASEAN FTA.txt.html" xr:uid="{44EB3929-CEAC-234E-8C22-D0889CA3605A}"/>
    <hyperlink ref="I8" r:id="rId29" display="../../../../../../Documents/Publications/SG Economic Treaties/FTAs/MY-NZ (2009).txt.ASEAN FTA.txt.html" xr:uid="{9E29026D-BB32-7543-96CF-67C4D12BFB2C}"/>
    <hyperlink ref="I9" r:id="rId30" display="../../../../../../Documents/Publications/SG Economic Treaties/FTAs/MY-Turkey (2022).txt.ASEAN FTA.txt.html" xr:uid="{CEAED5CE-69D0-A743-A388-2C59CB8F48A4}"/>
    <hyperlink ref="I10" r:id="rId31" display="../../../../../../Documents/Publications/SG Economic Treaties/FTAs/MY-UAE (2025).txt.ASEAN FTA.txt.html" xr:uid="{670E890F-9DD0-204F-A745-2D3E215C1B99}"/>
    <hyperlink ref="M2" r:id="rId32" display="../../../../../../Documents/Publications/SG Economic Treaties/FTAs/396_EFTA Singapore_2002Cut.txt.ASEAN FTA.txt.html" xr:uid="{D744A7E2-63B5-1E4E-93E5-7E43D60DB8A9}"/>
    <hyperlink ref="M3" r:id="rId33" display="../../../../../../Documents/Publications/SG Economic Treaties/FTAs/475_Gulf Cooperation Council (GCC) Singapore_2008Cut.txt.ASEAN FTA.txt.html" xr:uid="{22DA92D9-BDA1-0A44-9C98-E9148707399A}"/>
    <hyperlink ref="M4" r:id="rId34" display="../../../../../../Documents/Publications/SG Economic Treaties/FTAs/493_India Singapore_2005Cut.txt.ASEAN FTA.txt.html" xr:uid="{5E430BDE-C353-E94D-80A1-4A3E659699FE}"/>
    <hyperlink ref="M5" r:id="rId35" display="../../../../../../Documents/Publications/SG Economic Treaties/FTAs/520_Japan Singapore_2002Cut.txt.ASEAN FTA.txt.html" xr:uid="{2D400D71-BC00-0640-A890-A639DABEE45C}"/>
    <hyperlink ref="M6" r:id="rId36" display="../../../../../../Documents/Publications/SG Economic Treaties/FTAs/534_Jordan Singapore_2004Cut.txt.ASEAN FTA.txt.html" xr:uid="{25C1E3FF-3E4B-3541-BC2D-C6F3CAAB2C8C}"/>
    <hyperlink ref="M7" r:id="rId37" display="../../../../../../Documents/Publications/SG Economic Treaties/FTAs/550_Korea Singapore_2005Cut.txt.ASEAN FTA.txt.html" xr:uid="{DA6958F6-6DA5-7540-9143-273B7C2FF998}"/>
    <hyperlink ref="M8" r:id="rId38" display="../../../../../../Documents/Publications/SG Economic Treaties/FTAs/631_New Zealand Singapore_2000Cut.txt.ASEAN FTA.txt.html" xr:uid="{52459C4A-1584-DE4A-8C14-17CF53C4586A}"/>
    <hyperlink ref="M9" r:id="rId39" display="../../../../../../Documents/Publications/SG Economic Treaties/FTAs/641_Panama Singapore_2006Cut.txt.ASEAN FTA.txt.html" xr:uid="{8C642FB2-AB97-7742-A93A-C0E00BB8C00F}"/>
    <hyperlink ref="M10" r:id="rId40" display="../../../../../../Documents/Publications/SG Economic Treaties/FTAs/644_Peru Singapore_2008Cut.txt.ASEAN FTA.txt.html" xr:uid="{A6C89028-11AD-6B41-BDFD-6167D585D5B4}"/>
    <hyperlink ref="M11" r:id="rId41" display="../../../../../../Documents/Publications/SG Economic Treaties/FTAs/658_Singapore US_2003Cut.txt.ASEAN FTA.txt.html" xr:uid="{5BBE7704-0333-0C45-A0B5-BFF7036991B3}"/>
    <hyperlink ref="M12" r:id="rId42" display="../../../../../../Documents/Publications/SG Economic Treaties/FTAs/814_Costa Rica Singapore_2010 cut.txt.ASEAN FTA.txt.html" xr:uid="{D9438B8D-717B-4D44-A611-94A9D3206792}"/>
    <hyperlink ref="M13" r:id="rId43" display="../../../../../../Documents/Publications/SG Economic Treaties/FTAs/82_Australia Singapore_2003Cut.txt.ASEAN FTA.txt.html" xr:uid="{71A200BD-B552-284A-9E60-30B0C5003435}"/>
    <hyperlink ref="M14" r:id="rId44" display="../../../../../../Documents/Publications/SG Economic Treaties/FTAs/874_EC Singapore_ (cut) + Investment (2018).txt.ASEAN FTA.txt.html" xr:uid="{185BD22F-58E6-2645-A659-6F6089665F34}"/>
    <hyperlink ref="M15" r:id="rId45" display="../../../../../../Documents/Publications/SG Economic Treaties/FTAs/SG-Armenia (2019).txt.ASEAN FTA.txt.html" xr:uid="{38FD66AA-6089-5A46-9A71-7801C98AF921}"/>
    <hyperlink ref="M16" r:id="rId46" display="../../../../../../Documents/Publications/SG Economic Treaties/FTAs/SG-China (2023).txt.ASEAN FTA.txt.html" xr:uid="{0DD8EFC9-FCE9-3E4E-BCE4-6527E6C1E18D}"/>
    <hyperlink ref="M17" r:id="rId47" display="../../../../../../Documents/Publications/SG Economic Treaties/FTAs/SG-Costa Rica (2010).txt.ASEAN FTA.txt.html" xr:uid="{B76E6D52-0BC8-C840-A66A-F7FCC3E4AEBD}"/>
    <hyperlink ref="M18" r:id="rId48" display="../../../../../../Documents/Publications/SG Economic Treaties/FTAs/SG-Kazakh (2023).txt.ASEAN FTA.txt.html" xr:uid="{6C0A29A9-4420-0B4A-8AC9-EFA3E0E3C1EB}"/>
    <hyperlink ref="M19" r:id="rId49" display="../../../../../../Documents/Publications/SG Economic Treaties/FTAs/SG-Mercosur (2023).txt.ASEAN FTA.txt.html" xr:uid="{85F1C0FB-565B-734F-98A5-994DA681F53C}"/>
    <hyperlink ref="M20" r:id="rId50" display="../../../../../../Documents/Publications/SG Economic Treaties/FTAs/SG-Pacific Alliance (2022).txt.ASEAN FTA.txt.html" xr:uid="{1C031813-7ADD-374D-BCF4-538171EDF51D}"/>
    <hyperlink ref="M21" r:id="rId51" display="../../../../../../Documents/Publications/SG Economic Treaties/FTAs/SG-TW (2013).txt.ASEAN FTA.txt.html" xr:uid="{1D13CCBA-04BF-CA49-8D55-A189C3BCB64C}"/>
    <hyperlink ref="Q2" r:id="rId52" display="../../../../../../Documents/Publications/SG Economic Treaties/FTAs/523_Japan Vietnam_2008Cut.txt.ASEAN FTA.txt.html" xr:uid="{591523AE-1913-4A4A-89BC-3A5432AC9B5B}"/>
    <hyperlink ref="Q3" r:id="rId53" display="../../../../../../Documents/Publications/SG Economic Treaties/FTAs/VN-Chile (2011).txt.ASEAN FTA.txt.html" xr:uid="{43512A4C-70FC-4746-B7D7-E86023E04971}"/>
    <hyperlink ref="Q4" r:id="rId54" display="../../../../../../Documents/Publications/SG Economic Treaties/FTAs/VN-EEU (2015).txt.ASEAN FTA.txt.html" xr:uid="{DD03D692-9FFD-6545-BE39-C024A046D9D9}"/>
    <hyperlink ref="Q5" r:id="rId55" display="../../../../../../Documents/Publications/SG Economic Treaties/FTAs/VN-EU + Investment (2019).txt.ASEAN FTA.txt.html" xr:uid="{669670F3-23BB-9C44-9A2B-8DB16DED15BD}"/>
    <hyperlink ref="Q6" r:id="rId56" display="../../../../../../Documents/Publications/SG Economic Treaties/FTAs/VN-Israel (2023).txt.ASEAN FTA.txt.html" xr:uid="{668DF851-CD24-6D41-9ABA-E9D17887810B}"/>
    <hyperlink ref="Q7" r:id="rId57" display="../../../../../../Documents/Publications/SG Economic Treaties/FTAs/VN-ROK (2015).txt.ASEAN FTA.txt.html" xr:uid="{61F490D9-1B2A-6447-970A-88F3B14ACEC9}"/>
    <hyperlink ref="Q8" r:id="rId58" display="../../../../../../Documents/Publications/SG Economic Treaties/FTAs/VN-UAE (2024).txt.ASEAN FTA.txt.html" xr:uid="{E09D1D8A-9F4D-6243-9DC0-EF84DD980B61}"/>
    <hyperlink ref="Q9" r:id="rId59" display="../../../../../../Documents/Publications/SG Economic Treaties/FTAs/VN-US (2000).txt.ASEAN FTA.txt.html" xr:uid="{27F7B0B0-9F1F-AE43-BBDC-99DE89B414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Internal (python)</vt:lpstr>
      <vt:lpstr>Internal (Wcopyfind)</vt:lpstr>
      <vt:lpstr>ASEAN (python)</vt:lpstr>
      <vt:lpstr>ASEAN (Wcopyfind)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Low</dc:creator>
  <cp:lastModifiedBy>James Low</cp:lastModifiedBy>
  <dcterms:created xsi:type="dcterms:W3CDTF">2026-01-05T18:04:29Z</dcterms:created>
  <dcterms:modified xsi:type="dcterms:W3CDTF">2026-02-04T08:15:26Z</dcterms:modified>
</cp:coreProperties>
</file>